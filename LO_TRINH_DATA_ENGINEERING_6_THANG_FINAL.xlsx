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4a866188f194c02" /></Relationships>
</file>

<file path=xl/workbook.xml><?xml version="1.0" encoding="utf-8"?>
<x:workbook xmlns:x="http://schemas.openxmlformats.org/spreadsheetml/2006/main">
  <x:sheets>
    <x:sheet xmlns:r="http://schemas.openxmlformats.org/officeDocument/2006/relationships" name="LỘ TRÌNH DE 6 THÁNG" sheetId="1" r:id="R992d93f67b00498b"/>
    <x:sheet xmlns:r="http://schemas.openxmlformats.org/officeDocument/2006/relationships" name="TỔNG QUAN" sheetId="2" r:id="R33ee5abd68aa47c7"/>
    <x:sheet xmlns:r="http://schemas.openxmlformats.org/officeDocument/2006/relationships" name="TONG_QUAN_SUA" sheetId="3" r:id="R5e085fb73f7b4993"/>
    <x:sheet xmlns:r="http://schemas.openxmlformats.org/officeDocument/2006/relationships" name="LO_TRINH_SUA" sheetId="4" r:id="Rb9fa0bdee843429d"/>
    <x:sheet xmlns:r="http://schemas.openxmlformats.org/officeDocument/2006/relationships" name="CHECKLIST_TUAN" sheetId="5" r:id="Rc51d68ed95554dd9"/>
    <x:sheet xmlns:r="http://schemas.openxmlformats.org/officeDocument/2006/relationships" name="BACKLOG_OPTIONAL" sheetId="6" r:id="Rf075606db1244ba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2">
    <x:font>
      <x:sz val="11"/>
      <x:color theme="1"/>
      <x:name val="Calibri"/>
    </x:font>
    <x:font>
      <x:b/>
      <x:sz val="14"/>
      <x:color rgb="FF1F4E79"/>
      <x:name val="Arial"/>
    </x:font>
    <x:font>
      <x:i/>
      <x:sz val="10"/>
      <x:color rgb="FF444444"/>
      <x:name val="Arial"/>
    </x:font>
    <x:font>
      <x:b/>
      <x:sz val="11"/>
      <x:color rgb="FFFFFFFF"/>
      <x:name val="Arial"/>
    </x:font>
    <x:font>
      <x:b/>
      <x:sz val="12"/>
      <x:color rgb="FFFFFFFF"/>
      <x:name val="Arial"/>
    </x:font>
    <x:font>
      <x:sz val="10"/>
      <x:name val="Arial"/>
    </x:font>
    <x:font>
      <x:b/>
      <x:sz val="10"/>
      <x:name val="Arial"/>
    </x:font>
    <x:font>
      <x:sz val="9"/>
      <x:color rgb="FF0563C1"/>
      <x:name val="Arial"/>
    </x:font>
    <x:font>
      <x:b/>
      <x:sz val="14"/>
      <x:color rgb="FFFFFFFF"/>
      <x:name val="Calibri"/>
    </x:font>
    <x:font>
      <x:i/>
      <x:sz val="11"/>
      <x:color rgb="FF334155"/>
      <x:name val="Calibri"/>
    </x:font>
    <x:font>
      <x:b/>
      <x:sz val="11"/>
      <x:color rgb="FFFFFFFF"/>
      <x:name val="Calibri"/>
    </x:font>
    <x:font>
      <x:b/>
      <x:sz val="11"/>
      <x:color theme="1"/>
      <x:name val="Calibri"/>
    </x:font>
  </x:fonts>
  <x:fills count="9">
    <x:fill>
      <x:patternFill patternType="none"/>
    </x:fill>
    <x:fill>
      <x:patternFill patternType="gray125"/>
    </x:fill>
    <x:fill>
      <x:patternFill patternType="solid">
        <x:fgColor rgb="FF1F4E79"/>
      </x:patternFill>
    </x:fill>
    <x:fill>
      <x:patternFill patternType="solid">
        <x:fgColor rgb="FF2E75B6"/>
      </x:patternFill>
    </x:fill>
    <x:fill>
      <x:patternFill patternType="solid">
        <x:fgColor rgb="FFD6E4F0"/>
      </x:patternFill>
    </x:fill>
    <x:fill>
      <x:patternFill patternType="solid">
        <x:fgColor rgb="FFFFFFFF"/>
      </x:patternFill>
    </x:fill>
    <x:fill>
      <x:patternFill patternType="solid">
        <x:fgColor rgb="FF0F172A"/>
      </x:patternFill>
    </x:fill>
    <x:fill>
      <x:patternFill patternType="solid">
        <x:fgColor rgb="FFE2E8F0"/>
      </x:patternFill>
    </x:fill>
    <x:fill>
      <x:patternFill patternType="solid">
        <x:fgColor rgb="FF1D4ED8"/>
      </x:patternFill>
    </x:fill>
  </x:fills>
  <x:borders count="3">
    <x:border/>
    <x:border>
      <x:left style="thin">
        <x:color rgb="FFB4C6E7"/>
      </x:left>
      <x:right style="thin">
        <x:color rgb="FFB4C6E7"/>
      </x:right>
      <x:top style="thin">
        <x:color rgb="FFB4C6E7"/>
      </x:top>
      <x:bottom style="thin">
        <x:color rgb="FFB4C6E7"/>
      </x:bottom>
    </x:border>
    <x:border/>
  </x:borders>
  <x:cellStyleXfs count="1">
    <x:xf numFmtId="0" fontId="0" fillId="0" borderId="0"/>
  </x:cellStyleXfs>
  <x:cellXfs count="79">
    <x:xf numFmtId="0" fontId="0" fillId="0" borderId="0" xfId="0"/>
    <x:xf numFmtId="0" fontId="1" fillId="0" borderId="0" xfId="0" applyAlignment="1">
      <x:alignment horizontal="center" vertical="center"/>
    </x:xf>
    <x:xf numFmtId="0" fontId="2" fillId="0" borderId="0" xfId="0" applyAlignment="1">
      <x:alignment horizontal="center" vertical="center"/>
    </x:xf>
    <x:xf numFmtId="0" fontId="3" fillId="2" borderId="1" xfId="0" applyAlignment="1">
      <x:alignment horizontal="center" vertical="top" wrapText="1"/>
    </x:xf>
    <x:xf numFmtId="0" fontId="4" fillId="3" borderId="1" xfId="0" applyAlignment="1">
      <x:alignment horizontal="center" vertical="center"/>
    </x:xf>
    <x:xf numFmtId="0" fontId="0" fillId="3" borderId="1" xfId="0"/>
    <x:xf numFmtId="0" fontId="6" fillId="4" borderId="1" xfId="0" applyAlignment="1">
      <x:alignment horizontal="center" vertical="top" wrapText="1"/>
    </x:xf>
    <x:xf numFmtId="0" fontId="5" fillId="4" borderId="1" xfId="0" applyAlignment="1">
      <x:alignment vertical="top" wrapText="1"/>
    </x:xf>
    <x:xf numFmtId="0" fontId="5" fillId="4" borderId="1" xfId="0" applyAlignment="1">
      <x:alignment horizontal="center" vertical="top" wrapText="1"/>
    </x:xf>
    <x:xf numFmtId="0" fontId="7" fillId="4" borderId="1" xfId="0" applyAlignment="1">
      <x:alignment vertical="top" wrapText="1"/>
    </x:xf>
    <x:xf numFmtId="0" fontId="6" fillId="5" borderId="1" xfId="0" applyAlignment="1">
      <x:alignment horizontal="center" vertical="top" wrapText="1"/>
    </x:xf>
    <x:xf numFmtId="0" fontId="5" fillId="5" borderId="1" xfId="0" applyAlignment="1">
      <x:alignment vertical="top" wrapText="1"/>
    </x:xf>
    <x:xf numFmtId="0" fontId="5" fillId="5" borderId="1" xfId="0" applyAlignment="1">
      <x:alignment horizontal="center" vertical="top" wrapText="1"/>
    </x:xf>
    <x:xf numFmtId="0" fontId="7" fillId="5" borderId="1" xfId="0" applyAlignment="1">
      <x:alignment vertical="top" wrapText="1"/>
    </x:xf>
    <x:xf numFmtId="0" fontId="1" fillId="0" borderId="0" xfId="0" applyAlignment="1">
      <x:alignment horizontal="center"/>
    </x:xf>
    <x:xf numFmtId="0" fontId="6" fillId="4" borderId="1" xfId="0" applyAlignment="1">
      <x:alignment vertical="top" wrapText="1"/>
    </x:xf>
    <x:xf numFmtId="0" fontId="6" fillId="5" borderId="1" xfId="0" applyAlignment="1">
      <x:alignment vertical="top" wrapText="1"/>
    </x:xf>
    <x:xf numFmtId="0" fontId="0" fillId="0" borderId="2" xfId="0" applyNumberFormat="1" applyFont="1" applyFill="1" applyBorder="1"/>
    <x:xf numFmtId="0" fontId="1" fillId="0" borderId="2" xfId="0" applyNumberFormat="1" applyFont="1" applyFill="1" applyBorder="1" applyAlignment="1">
      <x:alignment horizontal="center" vertical="center"/>
    </x:xf>
    <x:xf numFmtId="0" fontId="2" fillId="0" borderId="2" xfId="0" applyNumberFormat="1" applyFont="1" applyFill="1" applyBorder="1" applyAlignment="1">
      <x:alignment horizontal="center" vertical="center"/>
    </x:xf>
    <x:xf numFmtId="0" fontId="3" fillId="2" borderId="1" xfId="0" applyNumberFormat="1" applyFont="1" applyFill="1" applyBorder="1" applyAlignment="1">
      <x:alignment horizontal="center" vertical="top" wrapText="1"/>
    </x:xf>
    <x:xf numFmtId="0" fontId="4" fillId="3" borderId="1" xfId="0" applyNumberFormat="1" applyFont="1" applyFill="1" applyBorder="1" applyAlignment="1">
      <x:alignment horizontal="center" vertical="center"/>
    </x:xf>
    <x:xf numFmtId="0" fontId="0" fillId="3" borderId="1" xfId="0" applyNumberFormat="1" applyFont="1" applyFill="1" applyBorder="1"/>
    <x:xf numFmtId="0" fontId="6" fillId="4" borderId="1" xfId="0" applyNumberFormat="1" applyFont="1" applyFill="1" applyBorder="1" applyAlignment="1">
      <x:alignment horizontal="center" vertical="top" wrapText="1"/>
    </x:xf>
    <x:xf numFmtId="0" fontId="5" fillId="4" borderId="1" xfId="0" applyNumberFormat="1" applyFont="1" applyFill="1" applyBorder="1" applyAlignment="1">
      <x:alignment vertical="top" wrapText="1"/>
    </x:xf>
    <x:xf numFmtId="0" fontId="5" fillId="4" borderId="1" xfId="0" applyNumberFormat="1" applyFont="1" applyFill="1" applyBorder="1" applyAlignment="1">
      <x:alignment horizontal="center" vertical="top" wrapText="1"/>
    </x:xf>
    <x:xf numFmtId="0" fontId="7" fillId="4" borderId="1" xfId="0" applyNumberFormat="1" applyFont="1" applyFill="1" applyBorder="1" applyAlignment="1">
      <x:alignment vertical="top" wrapText="1"/>
    </x:xf>
    <x:xf numFmtId="0" fontId="6" fillId="5" borderId="1" xfId="0" applyNumberFormat="1" applyFont="1" applyFill="1" applyBorder="1" applyAlignment="1">
      <x:alignment horizontal="center" vertical="top" wrapText="1"/>
    </x:xf>
    <x:xf numFmtId="0" fontId="5" fillId="5" borderId="1" xfId="0" applyNumberFormat="1" applyFont="1" applyFill="1" applyBorder="1" applyAlignment="1">
      <x:alignment vertical="top" wrapText="1"/>
    </x:xf>
    <x:xf numFmtId="0" fontId="5" fillId="5" borderId="1" xfId="0" applyNumberFormat="1" applyFont="1" applyFill="1" applyBorder="1" applyAlignment="1">
      <x:alignment horizontal="center" vertical="top" wrapText="1"/>
    </x:xf>
    <x:xf numFmtId="0" fontId="7" fillId="5" borderId="1" xfId="0" applyNumberFormat="1" applyFont="1" applyFill="1" applyBorder="1" applyAlignment="1">
      <x:alignment vertical="top" wrapText="1"/>
    </x:xf>
    <x:xf numFmtId="0" fontId="1" fillId="0" borderId="2" xfId="0" applyNumberFormat="1" applyFont="1" applyFill="1" applyBorder="1" applyAlignment="1">
      <x:alignment horizontal="center"/>
    </x:xf>
    <x:xf numFmtId="0" fontId="6" fillId="4" borderId="1" xfId="0" applyNumberFormat="1" applyFont="1" applyFill="1" applyBorder="1" applyAlignment="1">
      <x:alignment vertical="top" wrapText="1"/>
    </x:xf>
    <x:xf numFmtId="0" fontId="6" fillId="5" borderId="1" xfId="0" applyNumberFormat="1" applyFont="1" applyFill="1" applyBorder="1" applyAlignment="1">
      <x:alignment vertical="top" wrapText="1"/>
    </x:xf>
    <x:xf numFmtId="0" fontId="0" fillId="6" borderId="0" xfId="0" applyNumberFormat="1" applyFont="1" applyFill="1" applyBorder="1"/>
    <x:xf numFmtId="0" fontId="8" fillId="6" borderId="0" xfId="0" applyNumberFormat="1" applyFont="1" applyFill="1" applyBorder="1"/>
    <x:xf numFmtId="0" fontId="8" fillId="6" borderId="0" xfId="0" applyNumberFormat="1" applyFont="1" applyFill="1" applyBorder="1" applyAlignment="1">
      <x:alignment horizontal="center"/>
    </x:xf>
    <x:xf numFmtId="0" fontId="8" fillId="6" borderId="0" xfId="0" applyNumberFormat="1" applyFont="1" applyFill="1" applyBorder="1" applyAlignment="1">
      <x:alignment horizontal="center" vertical="center"/>
    </x:xf>
    <x:xf numFmtId="0" fontId="0" fillId="6" borderId="2" xfId="0" applyNumberFormat="1" applyFont="1" applyFill="1" applyBorder="1"/>
    <x:xf numFmtId="0" fontId="8" fillId="6" borderId="2" xfId="0" applyNumberFormat="1" applyFont="1" applyFill="1" applyBorder="1"/>
    <x:xf numFmtId="0" fontId="8" fillId="6" borderId="2" xfId="0" applyNumberFormat="1" applyFont="1" applyFill="1" applyBorder="1" applyAlignment="1">
      <x:alignment horizontal="center"/>
    </x:xf>
    <x:xf numFmtId="0" fontId="8" fillId="6" borderId="2" xfId="0" applyNumberFormat="1" applyFont="1" applyFill="1" applyBorder="1" applyAlignment="1">
      <x:alignment horizontal="center" vertical="center"/>
    </x:xf>
    <x:xf numFmtId="0" fontId="0" fillId="7" borderId="0" xfId="0" applyNumberFormat="1" applyFont="1" applyFill="1" applyBorder="1"/>
    <x:xf numFmtId="0" fontId="9" fillId="7" borderId="0" xfId="0" applyNumberFormat="1" applyFont="1" applyFill="1" applyBorder="1"/>
    <x:xf numFmtId="0" fontId="9" fillId="7" borderId="0" xfId="0" applyNumberFormat="1" applyFont="1" applyFill="1" applyBorder="1" applyAlignment="1">
      <x:alignment wrapText="1"/>
    </x:xf>
    <x:xf numFmtId="0" fontId="9" fillId="7" borderId="0" xfId="0" applyNumberFormat="1" applyFont="1" applyFill="1" applyBorder="1" applyAlignment="1">
      <x:alignment vertical="center" wrapText="1"/>
    </x:xf>
    <x:xf numFmtId="0" fontId="0" fillId="7" borderId="2" xfId="0" applyNumberFormat="1" applyFont="1" applyFill="1" applyBorder="1"/>
    <x:xf numFmtId="0" fontId="9" fillId="7" borderId="2" xfId="0" applyNumberFormat="1" applyFont="1" applyFill="1" applyBorder="1"/>
    <x:xf numFmtId="0" fontId="9" fillId="7" borderId="2" xfId="0" applyNumberFormat="1" applyFont="1" applyFill="1" applyBorder="1" applyAlignment="1">
      <x:alignment wrapText="1"/>
    </x:xf>
    <x:xf numFmtId="0" fontId="9" fillId="7" borderId="2" xfId="0" applyNumberFormat="1" applyFont="1" applyFill="1" applyBorder="1" applyAlignment="1">
      <x:alignment vertical="center" wrapText="1"/>
    </x:xf>
    <x:xf numFmtId="0" fontId="0" fillId="8" borderId="0" xfId="0" applyNumberFormat="1" applyFont="1" applyFill="1" applyBorder="1"/>
    <x:xf numFmtId="0" fontId="10" fillId="8" borderId="0" xfId="0" applyNumberFormat="1" applyFont="1" applyFill="1" applyBorder="1"/>
    <x:xf numFmtId="0" fontId="10" fillId="8" borderId="0" xfId="0" applyNumberFormat="1" applyFont="1" applyFill="1" applyBorder="1" applyAlignment="1">
      <x:alignment wrapText="1"/>
    </x:xf>
    <x:xf numFmtId="0" fontId="10" fillId="8" borderId="0" xfId="0" applyNumberFormat="1" applyFont="1" applyFill="1" applyBorder="1" applyAlignment="1">
      <x:alignment horizontal="center" wrapText="1"/>
    </x:xf>
    <x:xf numFmtId="0" fontId="10" fillId="8" borderId="0" xfId="0" applyNumberFormat="1" applyFont="1" applyFill="1" applyBorder="1" applyAlignment="1">
      <x:alignment horizontal="center" vertical="center" wrapText="1"/>
    </x:xf>
    <x:xf numFmtId="0" fontId="0" fillId="8" borderId="2" xfId="0" applyNumberFormat="1" applyFont="1" applyFill="1" applyBorder="1"/>
    <x:xf numFmtId="0" fontId="10" fillId="8" borderId="2" xfId="0" applyNumberFormat="1" applyFont="1" applyFill="1" applyBorder="1"/>
    <x:xf numFmtId="0" fontId="10" fillId="8" borderId="2" xfId="0" applyNumberFormat="1" applyFont="1" applyFill="1" applyBorder="1" applyAlignment="1">
      <x:alignment wrapText="1"/>
    </x:xf>
    <x:xf numFmtId="0" fontId="10" fillId="8" borderId="2" xfId="0" applyNumberFormat="1" applyFont="1" applyFill="1" applyBorder="1" applyAlignment="1">
      <x:alignment horizontal="center" wrapText="1"/>
    </x:xf>
    <x:xf numFmtId="0" fontId="10" fillId="8" borderId="2"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2" xfId="0" applyNumberFormat="1" applyFont="1" applyFill="1" applyBorder="1" applyAlignment="1">
      <x:alignment vertical="top" wrapText="1"/>
    </x:xf>
    <x:xf numFmtId="200" fontId="0" fillId="0" borderId="0" xfId="0" applyNumberFormat="1" applyFont="1" applyFill="1" applyBorder="1"/>
    <x:xf numFmtId="200" fontId="10" fillId="8" borderId="0" xfId="0" applyNumberFormat="1" applyFont="1" applyFill="1" applyBorder="1" applyAlignment="1">
      <x:alignment horizontal="center" vertical="center" wrapText="1"/>
    </x:xf>
    <x:xf numFmtId="200" fontId="0" fillId="0" borderId="0" xfId="0" applyNumberFormat="1" applyFont="1" applyFill="1" applyBorder="1" applyAlignment="1">
      <x:alignment wrapText="1"/>
    </x:xf>
    <x:xf numFmtId="200" fontId="0" fillId="0" borderId="2" xfId="0" applyNumberFormat="1" applyFont="1" applyFill="1" applyBorder="1"/>
    <x:xf numFmtId="200" fontId="10" fillId="8" borderId="2" xfId="0" applyNumberFormat="1" applyFont="1" applyFill="1" applyBorder="1" applyAlignment="1">
      <x:alignment horizontal="center" vertical="center" wrapText="1"/>
    </x:xf>
    <x:xf numFmtId="200" fontId="0" fillId="0" borderId="2" xfId="0" applyNumberFormat="1" applyFont="1" applyFill="1" applyBorder="1" applyAlignment="1">
      <x:alignment wrapText="1"/>
    </x:xf>
    <x:xf numFmtId="201" fontId="0" fillId="0" borderId="0" xfId="0" applyNumberFormat="1" applyFont="1" applyFill="1" applyBorder="1" applyAlignment="1">
      <x:alignment wrapText="1"/>
    </x:xf>
    <x:xf numFmtId="201" fontId="0" fillId="0" borderId="2" xfId="0" applyNumberFormat="1" applyFont="1" applyFill="1" applyBorder="1" applyAlignment="1">
      <x:alignment wrapText="1"/>
    </x:xf>
    <x:xf numFmtId="0" fontId="8" fillId="6" borderId="0" xfId="0" applyNumberFormat="1" applyFont="1" applyFill="1" applyBorder="1" applyAlignment="1">
      <x:alignment horizontal="center" vertical="top"/>
    </x:xf>
    <x:xf numFmtId="0" fontId="8" fillId="6" borderId="2" xfId="0" applyNumberFormat="1" applyFont="1" applyFill="1" applyBorder="1" applyAlignment="1">
      <x:alignment horizontal="center" vertical="top"/>
    </x:xf>
    <x:xf numFmtId="0" fontId="0" fillId="0" borderId="0" xfId="0" applyNumberFormat="1" applyFont="1" applyFill="1" applyBorder="1"/>
    <x:xf numFmtId="0" fontId="1" fillId="0" borderId="0" xfId="0" applyNumberFormat="1" applyFont="1" applyFill="1" applyBorder="1" applyAlignment="1">
      <x:alignment horizontal="center" vertical="center"/>
    </x:xf>
    <x:xf numFmtId="0" fontId="2" fillId="0" borderId="0" xfId="0" applyNumberFormat="1" applyFont="1" applyFill="1" applyBorder="1" applyAlignment="1">
      <x:alignment horizontal="center" vertical="center"/>
    </x:xf>
    <x:xf numFmtId="0" fontId="1" fillId="0" borderId="0" xfId="0" applyNumberFormat="1" applyFont="1" applyFill="1" applyBorder="1" applyAlignment="1">
      <x:alignment horizontal="center"/>
    </x:xf>
    <x:xf numFmtId="0" fontId="11" fillId="0" borderId="0" xfId="0" applyNumberFormat="1" applyFont="1" applyFill="1" applyBorder="1" applyAlignment="1">
      <x:alignment vertical="top" wrapText="1"/>
    </x:xf>
  </x:cellXfs>
  <x:cellStyles count="1">
    <x:cellStyle name="Normal" xfId="0"/>
  </x:cellStyles>
  <x:dxfs count="5">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color rgb="FF166534"/>
      </x:font>
      <x:fill>
        <x:patternFill>
          <x:bgColor rgb="FFDCFCE7"/>
        </x:patternFill>
      </x:fill>
    </x:dxf>
    <x:dxf>
      <x:font>
        <x:color rgb="FF991B1B"/>
      </x:font>
      <x:fill>
        <x:patternFill>
          <x:bgColor rgb="FFFEE2E2"/>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cccbe0cfe1746f6" /><Relationship Type="http://schemas.openxmlformats.org/officeDocument/2006/relationships/theme" Target="/xl/theme/theme1.xml" Id="R392b6f98392b4d1b" /><Relationship Type="http://schemas.openxmlformats.org/officeDocument/2006/relationships/sharedStrings" Target="/xl/sharedStrings.xml" Id="R8e1db989761143f3" /><Relationship Type="http://schemas.openxmlformats.org/officeDocument/2006/relationships/worksheet" Target="/xl/worksheets/sheet1.xml" Id="R992d93f67b00498b" /><Relationship Type="http://schemas.openxmlformats.org/officeDocument/2006/relationships/worksheet" Target="/xl/worksheets/sheet2.xml" Id="R33ee5abd68aa47c7" /><Relationship Type="http://schemas.openxmlformats.org/officeDocument/2006/relationships/worksheet" Target="/xl/worksheets/sheet3.xml" Id="R5e085fb73f7b4993" /><Relationship Type="http://schemas.openxmlformats.org/officeDocument/2006/relationships/worksheet" Target="/xl/worksheets/sheet4.xml" Id="Rb9fa0bdee843429d" /><Relationship Type="http://schemas.openxmlformats.org/officeDocument/2006/relationships/worksheet" Target="/xl/worksheets/sheet5.xml" Id="Rc51d68ed95554dd9" /><Relationship Type="http://schemas.openxmlformats.org/officeDocument/2006/relationships/worksheet" Target="/xl/worksheets/sheet6.xml" Id="Rf075606db1244bae" /></Relationships>
</file>

<file path=xl/drawings/_rels/drawing1.xml.rels>&#65279;<?xml version="1.0" encoding="utf-8"?><Relationships xmlns="http://schemas.openxmlformats.org/package/2006/relationships"><Relationship Type="http://schemas.openxmlformats.org/officeDocument/2006/relationships/chart" Target="/xl/drawings/charts/chart1.xml" Id="Rfd1ad37d43f6487c" /></Relationships>
</file>

<file path=xl/drawings/charts/chart1.xml><?xml version="1.0" encoding="utf-8"?>
<c:chartSpace xmlns:c="http://schemas.openxmlformats.org/drawingml/2006/chart">
  <c:lang val="en-US"/>
  <c:roundedCorners val="0"/>
  <c:chart>
    <c:plotArea>
      <c:layout/>
      <c:barChart>
        <c:barDir val="col"/>
        <c:grouping val="clustered"/>
        <c:varyColors val="0"/>
        <c:ser>
          <c:idx val="0"/>
          <c:order val="0"/>
          <c:tx>
            <c:v>Giờ học</c:v>
          </c:tx>
          <c:cat>
            <c:strRef>
              <c:f>'TONG_QUAN_SUA'!$A$11:$A$16</c:f>
              <c:strCache>
                <c:ptCount val="0"/>
              </c:strCache>
            </c:strRef>
          </c:cat>
          <c:val>
            <c:numRef>
              <c:f>'TONG_QUAN_SUA'!$C$11:$C$16</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2</xdr:row>
      <xdr:rowOff>0</xdr:rowOff>
    </xdr:from>
    <xdr:to>
      <xdr:col>11</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d1ad37d43f6487c"/>
        </a:graphicData>
      </a:graphic>
    </xdr:graphicFrame>
    <xdr:clientData/>
  </xdr:twoCellAnchor>
</xdr:wsDr>
</file>

<file path=xl/tables/table1.xml><?xml version="1.0" encoding="utf-8"?>
<x:table xmlns:x="http://schemas.openxmlformats.org/spreadsheetml/2006/main" id="2" name="MonthSummaryTable" displayName="MonthSummaryTable" ref="A10:E16" headerRowCount="1">
  <x:tableColumns count="5">
    <x:tableColumn id="1" name="Tháng"/>
    <x:tableColumn id="2" name="Trọng tâm sửa lại"/>
    <x:tableColumn id="3" name="Giờ"/>
    <x:tableColumn id="4" name="Output lớn nhất"/>
    <x:tableColumn id="5" name="Ghi chú"/>
  </x:tableColumns>
  <x:tableStyleInfo name="TableStyleMedium2" showRowStripes="1"/>
</x:table>
</file>

<file path=xl/tables/table2.xml><?xml version="1.0" encoding="utf-8"?>
<x:table xmlns:x="http://schemas.openxmlformats.org/spreadsheetml/2006/main" id="1" name="RoadmapSuaTable" displayName="RoadmapSuaTable" ref="A4:K28" headerRowCount="1">
  <x:tableColumns count="11">
    <x:tableColumn id="1" name="Tuần"/>
    <x:tableColumn id="2" name="Tháng"/>
    <x:tableColumn id="3" name="Giai đoạn"/>
    <x:tableColumn id="4" name="Trọng tâm đã sửa"/>
    <x:tableColumn id="5" name="Mức ưu tiên"/>
    <x:tableColumn id="6" name="Lý thuyết cần nắm"/>
    <x:tableColumn id="7" name="Thực hành chính"/>
    <x:tableColumn id="8" name="Output bắt buộc"/>
    <x:tableColumn id="9" name="Giờ"/>
    <x:tableColumn id="10" name="Lý do sửa"/>
    <x:tableColumn id="11" name="Tiêu chí hoàn thành"/>
  </x:tableColumns>
  <x:tableStyleInfo name="TableStyleMedium2" showRowStripes="1"/>
</x:table>
</file>

<file path=xl/tables/table3.xml><?xml version="1.0" encoding="utf-8"?>
<x:table xmlns:x="http://schemas.openxmlformats.org/spreadsheetml/2006/main" id="3" name="ChecklistTable" displayName="ChecklistTable" ref="A3:H27" headerRowCount="1">
  <x:tableColumns count="8">
    <x:tableColumn id="1" name="Tuần"/>
    <x:tableColumn id="2" name="Trọng tâm"/>
    <x:tableColumn id="3" name="Ưu tiên"/>
    <x:tableColumn id="4" name="Giờ"/>
    <x:tableColumn id="5" name="Đã học?"/>
    <x:tableColumn id="6" name="Đã code?"/>
    <x:tableColumn id="7" name="Đã viết docs?"/>
    <x:tableColumn id="8" name="Ghi chú"/>
  </x:tableColumns>
  <x:tableStyleInfo name="TableStyleMedium2" showRowStripes="1"/>
</x:table>
</file>

<file path=xl/tables/table4.xml><?xml version="1.0" encoding="utf-8"?>
<x:table xmlns:x="http://schemas.openxmlformats.org/spreadsheetml/2006/main" id="4" name="OptionalBacklogTable" displayName="OptionalBacklogTable" ref="A3:E11" headerRowCount="1">
  <x:tableColumns count="5">
    <x:tableColumn id="1" name="Chủ đề"/>
    <x:tableColumn id="2" name="Trạng thái trong bản sửa"/>
    <x:tableColumn id="3" name="Vì sao để sau"/>
    <x:tableColumn id="4" name="Học khi nào"/>
    <x:tableColumn id="5" name="Mini lab nếu còn thời gian"/>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6e7e9f8ce08c41f3" /><Relationship Type="http://schemas.openxmlformats.org/officeDocument/2006/relationships/table" Target="/xl/tables/table1.xml" Id="R3a88840073444a13" /></Relationships>
</file>

<file path=xl/worksheets/_rels/sheet4.xml.rels>&#65279;<?xml version="1.0" encoding="utf-8"?><Relationships xmlns="http://schemas.openxmlformats.org/package/2006/relationships"><Relationship Type="http://schemas.openxmlformats.org/officeDocument/2006/relationships/table" Target="/xl/tables/table2.xml" Id="Rf1ba235d2dd74299" /></Relationships>
</file>

<file path=xl/worksheets/_rels/sheet5.xml.rels>&#65279;<?xml version="1.0" encoding="utf-8"?><Relationships xmlns="http://schemas.openxmlformats.org/package/2006/relationships"><Relationship Type="http://schemas.openxmlformats.org/officeDocument/2006/relationships/table" Target="/xl/tables/table3.xml" Id="R94b74b6aac764592" /></Relationships>
</file>

<file path=xl/worksheets/_rels/sheet6.xml.rels>&#65279;<?xml version="1.0" encoding="utf-8"?><Relationships xmlns="http://schemas.openxmlformats.org/package/2006/relationships"><Relationship Type="http://schemas.openxmlformats.org/officeDocument/2006/relationships/table" Target="/xl/tables/table4.xml" Id="Rba093a90a7134240" /></Relationships>
</file>

<file path=xl/worksheets/sheet1.xml><?xml version="1.0" encoding="utf-8"?>
<x:worksheet xmlns:x="http://schemas.openxmlformats.org/spreadsheetml/2006/main">
  <x:sheetFormatPr baseColWidth="8" defaultRowHeight="15"/>
  <x:cols>
    <x:col min="1" max="1" width="6" customWidth="1"/>
    <x:col min="2" max="2" width="22" customWidth="1"/>
    <x:col min="3" max="3" width="38" customWidth="1"/>
    <x:col min="4" max="4" width="42" customWidth="1"/>
    <x:col min="5" max="5" width="48" customWidth="1"/>
    <x:col min="6" max="6" width="30" customWidth="1"/>
    <x:col min="7" max="7" width="10" customWidth="1"/>
    <x:col min="8" max="8" width="30" customWidth="1"/>
    <x:col min="9" max="9" width="35" customWidth="1"/>
  </x:cols>
  <x:sheetData>
    <x:row r="1" ht="35" customHeight="1">
      <x:c r="A1" s="1" t="inlineStr">
        <x:is>
          <x:t xml:space="preserve">LỘ TRÌNH TRAINING DATA ENGINEERING — TỰ HỌC 6 THÁNG (100 DAYS STYLE)</x:t>
        </x:is>
      </x:c>
    </x:row>
    <x:row r="2" ht="22" customHeight="1">
      <x:c r="A2" s="2" t="inlineStr">
        <x:is>
          <x:t xml:space="preserve">Đối tượng: Sinh viên IT, biết SQL cơ bản (cần ôn lại), chưa biết gì về Data Engineering. Nền tảng: fullstack NestJS/React.</x:t>
        </x:is>
      </x:c>
    </x:row>
    <x:row r="3" ht="30" customHeight="1">
      <x:c r="A3" s="3" t="inlineStr">
        <x:is>
          <x:t xml:space="preserve">Tuần</x:t>
        </x:is>
      </x:c>
      <x:c r="B3" s="3" t="inlineStr">
        <x:is>
          <x:t xml:space="preserve">Nội dung chính</x:t>
        </x:is>
      </x:c>
      <x:c r="C3" s="3" t="inlineStr">
        <x:is>
          <x:t xml:space="preserve">Lý thuyết</x:t>
        </x:is>
      </x:c>
      <x:c r="D3" s="3" t="inlineStr">
        <x:is>
          <x:t xml:space="preserve">Mục tiêu học được</x:t>
        </x:is>
      </x:c>
      <x:c r="E3" s="3" t="inlineStr">
        <x:is>
          <x:t xml:space="preserve">Thực hành / Project</x:t>
        </x:is>
      </x:c>
      <x:c r="F3" s="3" t="inlineStr">
        <x:is>
          <x:t xml:space="preserve">Viết Docs</x:t>
        </x:is>
      </x:c>
      <x:c r="G3" s="3" t="inlineStr">
        <x:is>
          <x:t xml:space="preserve">Thời gian</x:t>
        </x:is>
      </x:c>
      <x:c r="H3" s="3" t="inlineStr">
        <x:is>
          <x:t xml:space="preserve">Present / Slide</x:t>
        </x:is>
      </x:c>
      <x:c r="I3" s="3" t="inlineStr">
        <x:is>
          <x:t xml:space="preserve">Tài liệu tham khảo</x:t>
        </x:is>
      </x:c>
    </x:row>
    <x:row r="4" ht="28" customHeight="1">
      <x:c r="A4" s="4" t="inlineStr">
        <x:is>
          <x:t xml:space="preserve">THÁNG 1 — NỀN TẢNG SQL &amp; PROGRAMMING (Day 1–28)</x:t>
        </x:is>
      </x:c>
      <x:c r="B4" s="5" t="n"/>
      <x:c r="C4" s="5" t="n"/>
      <x:c r="D4" s="5" t="n"/>
      <x:c r="E4" s="5" t="n"/>
      <x:c r="F4" s="5" t="n"/>
      <x:c r="G4" s="5" t="n"/>
      <x:c r="H4" s="5" t="n"/>
      <x:c r="I4" s="5" t="n"/>
    </x:row>
    <x:row r="5" ht="180" customHeight="1">
      <x:c r="A5" s="6" t="inlineStr">
        <x:is>
          <x:t xml:space="preserve">T1</x:t>
        </x:is>
      </x:c>
      <x:c r="B5" s="7" t="inlineStr">
        <x:is>
          <x:t xml:space="preserve">SQL cơ bản
(ôn lại &amp; củng cố)</x:t>
        </x:is>
      </x:c>
      <x:c r="C5" s="7" t="inlineStr">
        <x:is>
          <x:t xml:space="preserve">• SELECT, WHERE, ORDER BY, LIMIT
• JOIN: INNER, LEFT, RIGHT, FULL
• GROUP BY, HAVING, aggregate functions
• Subquery cơ bản
• INSERT, UPDATE, DELETE</x:t>
        </x:is>
      </x:c>
      <x:c r="D5" s="7" t="inlineStr">
        <x:is>
          <x:t xml:space="preserve">✓ Viết truy vấn JOIN 3+ bảng không cần tra cứu
✓ Dùng GROUP BY + HAVING lọc dữ liệu tổng hợp
✓ Giải thích sự khác nhau giữa WHERE và HAVING
✓ Hoàn thành 20 bài SQL trên HackerRank/LeetCode</x:t>
        </x:is>
      </x:c>
      <x:c r="E5" s="7" t="inlineStr">
        <x:is>
          <x:t xml:space="preserve">1. Cài PostgreSQL local, import dataset mẫu (dvdrental hoặc sakila)
2. Hoàn thành playlist SQL Alex The Analyst (17 video)
3. Giải 20 bài SQL Easy-Medium trên HackerRank
4. Viết 10 truy vấn phân tích trên dataset mẫu</x:t>
        </x:is>
      </x:c>
      <x:c r="F5" s="7" t="inlineStr">
        <x:is>
          <x:t xml:space="preserve">Cheatsheet: SQL commands cơ bản
Note: JOIN types + ví dụ</x:t>
        </x:is>
      </x:c>
      <x:c r="G5" s="8" t="inlineStr">
        <x:is>
          <x:t xml:space="preserve">20h</x:t>
        </x:is>
      </x:c>
      <x:c r="H5" s="7" t="inlineStr">
        <x:is>
          <x:t xml:space="preserve">—</x:t>
        </x:is>
      </x:c>
      <x:c r="I5" s="9" t="inlineStr">
        <x:is>
          <x:t xml:space="preserve">Playlist: SQL with Alex The Analyst
hackerrank.com/sql
w3schools.com/sql
mode.com/sql-tutorial</x:t>
        </x:is>
      </x:c>
    </x:row>
    <x:row r="6" ht="180" customHeight="1">
      <x:c r="A6" s="10" t="inlineStr">
        <x:is>
          <x:t xml:space="preserve">T2</x:t>
        </x:is>
      </x:c>
      <x:c r="B6" s="11" t="inlineStr">
        <x:is>
          <x:t xml:space="preserve">SQL nâng cao
+ Kiểu dữ liệu &amp; Index</x:t>
        </x:is>
      </x:c>
      <x:c r="C6" s="11" t="inlineStr">
        <x:is>
          <x:t xml:space="preserve">• Window Functions: ROW_NUMBER, RANK, LAG, LEAD, OVER(PARTITION BY)
• CTE (Common Table Expression)
• CASE WHEN, COALESCE, CAST
• Index cơ bản, EXPLAIN plan
• View vs Materialized View</x:t>
        </x:is>
      </x:c>
      <x:c r="D6" s="11" t="inlineStr">
        <x:is>
          <x:t xml:space="preserve">✓ Viết Window Function tính running total, ranking
✓ Dùng CTE thay nested subquery cho query dễ đọc
✓ Đọc EXPLAIN plan, xác định Full Table Scan
✓ Giải thích khi nào dùng View vs Materialized View</x:t>
        </x:is>
      </x:c>
      <x:c r="E6" s="11" t="inlineStr">
        <x:is>
          <x:t xml:space="preserve">1. Giải 15 bài SQL Medium-Hard (Window Functions)
2. Viết CTE query phân tích doanh thu theo tháng
3. Tạo index, so sánh tốc độ trước/sau bằng EXPLAIN
4. Bắt đầu SQL Data Exploration Project (Alex The Analyst — COVID dataset)</x:t>
        </x:is>
      </x:c>
      <x:c r="F6" s="11" t="inlineStr">
        <x:is>
          <x:t xml:space="preserve">Note: Window Functions cheatsheet
Note: EXPLAIN plan đọc thế nào</x:t>
        </x:is>
      </x:c>
      <x:c r="G6" s="12" t="inlineStr">
        <x:is>
          <x:t xml:space="preserve">22h</x:t>
        </x:is>
      </x:c>
      <x:c r="H6" s="11" t="inlineStr">
        <x:is>
          <x:t xml:space="preserve">—</x:t>
        </x:is>
      </x:c>
      <x:c r="I6" s="13" t="inlineStr">
        <x:is>
          <x:t xml:space="preserve">Playlist: Alex The Analyst Portfolio Project
postgresqltutorial.com
use-the-index-luke.com</x:t>
        </x:is>
      </x:c>
    </x:row>
    <x:row r="7" ht="180" customHeight="1">
      <x:c r="A7" s="6" t="inlineStr">
        <x:is>
          <x:t xml:space="preserve">T3</x:t>
        </x:is>
      </x:c>
      <x:c r="B7" s="7" t="inlineStr">
        <x:is>
          <x:t xml:space="preserve">Python cơ bản
cho Data Engineering</x:t>
        </x:is>
      </x:c>
      <x:c r="C7" s="7" t="inlineStr">
        <x:is>
          <x:t xml:space="preserve">• Python: list, dict, set, tuple, comprehension
• Function, error handling (try/except)
• File I/O: đọc/ghi CSV, JSON
• Thư viện: requests, os, json
• Virtual environment (venv, pip)</x:t>
        </x:is>
      </x:c>
      <x:c r="D7" s="7" t="inlineStr">
        <x:is>
          <x:t xml:space="preserve">✓ Đọc file CSV/JSON, xử lý và ghi ra file mới
✓ Gọi API public, parse JSON response
✓ Viết function có error handling đúng chuẩn
✓ Setup virtual environment cho project Python</x:t>
        </x:is>
      </x:c>
      <x:c r="E7" s="7" t="inlineStr">
        <x:is>
          <x:t xml:space="preserve">1. Script đọc CSV dataset, tính thống kê cơ bản
2. Script gọi API (weather/crypto), lưu JSON
3. Script chuyển đổi CSV ↔ JSON
4. Push tất cả lên GitHub repo "de-100-days"</x:t>
        </x:is>
      </x:c>
      <x:c r="F7" s="7" t="inlineStr">
        <x:is>
          <x:t xml:space="preserve">Note: Python data types cheatsheet
Docs: Script README</x:t>
        </x:is>
      </x:c>
      <x:c r="G7" s="8" t="inlineStr">
        <x:is>
          <x:t xml:space="preserve">20h</x:t>
        </x:is>
      </x:c>
      <x:c r="H7" s="7" t="inlineStr">
        <x:is>
          <x:t xml:space="preserve">—</x:t>
        </x:is>
      </x:c>
      <x:c r="I7" s="9" t="inlineStr">
        <x:is>
          <x:t xml:space="preserve">Video: Python for Beginners (freeCodeCamp)
realpython.com
automatetheboringstuff.com</x:t>
        </x:is>
      </x:c>
    </x:row>
    <x:row r="8" ht="180" customHeight="1">
      <x:c r="A8" s="10" t="inlineStr">
        <x:is>
          <x:t xml:space="preserve">T4</x:t>
        </x:is>
      </x:c>
      <x:c r="B8" s="11" t="inlineStr">
        <x:is>
          <x:t xml:space="preserve">Python nâng cao
+ Pandas + Git</x:t>
        </x:is>
      </x:c>
      <x:c r="C8" s="11" t="inlineStr">
        <x:is>
          <x:t xml:space="preserve">• Pandas: DataFrame, read_csv, groupby, merge, pivot
• Data cleaning: missing values, duplicates, dtypes
• Git: init, add, commit, push, pull, branch, merge
• .gitignore, commit message chuẩn</x:t>
        </x:is>
      </x:c>
      <x:c r="D8" s="11" t="inlineStr">
        <x:is>
          <x:t xml:space="preserve">✓ Load dataset lớn vào Pandas, clean &amp; transform
✓ Merge 2 DataFrame giống SQL JOIN
✓ Tạo branch, merge, resolve conflict trên Git
✓ Commit message đúng chuẩn Conventional Commits</x:t>
        </x:is>
      </x:c>
      <x:c r="E8" s="11" t="inlineStr">
        <x:is>
          <x:t xml:space="preserve">1. Pandas project: clean &amp; analyze dataset Kaggle (e.g. Titanic, E-commerce)
2. Export kết quả ra CSV + basic visualization (matplotlib)
3. Git workflow: tạo branch feature, PR, merge
4. Push toàn bộ code tuần 1–4 lên GitHub</x:t>
        </x:is>
      </x:c>
      <x:c r="F8" s="11" t="inlineStr">
        <x:is>
          <x:t xml:space="preserve">Note: Pandas cheatsheet
Docs: Git workflow guide</x:t>
        </x:is>
      </x:c>
      <x:c r="G8" s="12" t="inlineStr">
        <x:is>
          <x:t xml:space="preserve">24h</x:t>
        </x:is>
      </x:c>
      <x:c r="H8" s="11" t="inlineStr">
        <x:is>
          <x:t xml:space="preserve">PRESENT: Tổng kết Tháng 1
(SQL + Python portfolio)</x:t>
        </x:is>
      </x:c>
      <x:c r="I8" s="13" t="inlineStr">
        <x:is>
          <x:t xml:space="preserve">pandas.pydata.org/docs
kaggle.com/datasets
learngitbranching.js.org</x:t>
        </x:is>
      </x:c>
    </x:row>
    <x:row r="9" ht="28" customHeight="1">
      <x:c r="A9" s="4" t="inlineStr">
        <x:is>
          <x:t xml:space="preserve">THÁNG 2 — DATA MODELING &amp; DATA STORAGE (Day 29–56)</x:t>
        </x:is>
      </x:c>
      <x:c r="B9" s="5" t="n"/>
      <x:c r="C9" s="5" t="n"/>
      <x:c r="D9" s="5" t="n"/>
      <x:c r="E9" s="5" t="n"/>
      <x:c r="F9" s="5" t="n"/>
      <x:c r="G9" s="5" t="n"/>
      <x:c r="H9" s="5" t="n"/>
      <x:c r="I9" s="5" t="n"/>
    </x:row>
    <x:row r="10" ht="180" customHeight="1">
      <x:c r="A10" s="6" t="inlineStr">
        <x:is>
          <x:t xml:space="preserve">T5</x:t>
        </x:is>
      </x:c>
      <x:c r="B10" s="7" t="inlineStr">
        <x:is>
          <x:t xml:space="preserve">Data Modeling cơ bản
(Relational Model)</x:t>
        </x:is>
      </x:c>
      <x:c r="C10" s="7" t="inlineStr">
        <x:is>
          <x:t xml:space="preserve">• Data Modeling là gì, tại sao quan trọng
• Entity Relationship Diagram (ERD)
• Normalization: 1NF, 2NF, 3NF
• Denormalization: khi nào và tại sao
• Primary Key, Foreign Key, Cardinality</x:t>
        </x:is>
      </x:c>
      <x:c r="D10" s="7" t="inlineStr">
        <x:is>
          <x:t xml:space="preserve">✓ Vẽ ERD cho hệ thống e-commerce 5+ entities
✓ Normalize bảng từ 0NF → 3NF với ví dụ cụ thể
✓ Giải thích trade-off Normalization vs Denormalization
✓ Xác định đúng Cardinality (1:1, 1:N, N:M)</x:t>
        </x:is>
      </x:c>
      <x:c r="E10" s="7" t="inlineStr">
        <x:is>
          <x:t xml:space="preserve">1. Xem video Data Modeling SeattleDataGuy
2. Vẽ ERD cho hệ thống quản lý đơn hàng (draw.io)
3. Normalize dataset thực tế từ 0NF → 3NF
4. Tạo tables trong PostgreSQL theo ERD đã vẽ</x:t>
        </x:is>
      </x:c>
      <x:c r="F10" s="7" t="inlineStr">
        <x:is>
          <x:t xml:space="preserve">Note: Normalization step-by-step
Diagram: ERD e-commerce</x:t>
        </x:is>
      </x:c>
      <x:c r="G10" s="8" t="inlineStr">
        <x:is>
          <x:t xml:space="preserve">20h</x:t>
        </x:is>
      </x:c>
      <x:c r="H10" s="7" t="inlineStr">
        <x:is>
          <x:t xml:space="preserve">—</x:t>
        </x:is>
      </x:c>
      <x:c r="I10" s="9" t="inlineStr">
        <x:is>
          <x:t xml:space="preserve">Video: Data Modeling - SeattleDataGuy
ssp.sh/brain/data-modeling
ssp.sh/brain/normalization
draw.io</x:t>
        </x:is>
      </x:c>
    </x:row>
    <x:row r="11" ht="180" customHeight="1">
      <x:c r="A11" s="10" t="inlineStr">
        <x:is>
          <x:t xml:space="preserve">T6</x:t>
        </x:is>
      </x:c>
      <x:c r="B11" s="11" t="inlineStr">
        <x:is>
          <x:t xml:space="preserve">Dimensional Modeling
(Star Schema, SCD)</x:t>
        </x:is>
      </x:c>
      <x:c r="C11" s="11" t="inlineStr">
        <x:is>
          <x:t xml:space="preserve">• Dimensional Modeling (Kimball)
• Fact Table vs Dimension Table
• Star Schema vs Snowflake Schema
• Slowly Changing Dimension (SCD Type 1, 2, 3)
• Granularity, Bus Matrix
• Inmon vs Kimball approach</x:t>
        </x:is>
      </x:c>
      <x:c r="D11" s="11" t="inlineStr">
        <x:is>
          <x:t xml:space="preserve">✓ Thiết kế Star Schema cho bài toán bán hàng
✓ Phân biệt Fact (đo lường) vs Dimension (mô tả)
✓ Implement SCD Type 2 với ví dụ thay đổi địa chỉ KH
✓ Giải thích Inmon vs Kimball: khi nào dùng cái nào</x:t>
        </x:is>
      </x:c>
      <x:c r="E11" s="11" t="inlineStr">
        <x:is>
          <x:t xml:space="preserve">1. Thiết kế Star Schema: fact_sales + 4 dimensions
2. Tạo tables trong PostgreSQL, load sample data
3. Viết query phân tích trên Star Schema (so sánh tốc độ vs normalized)
4. Implement SCD Type 2 bằng SQL</x:t>
        </x:is>
      </x:c>
      <x:c r="F11" s="11" t="inlineStr">
        <x:is>
          <x:t xml:space="preserve">Docs: Star Schema design document
Note: SCD types comparison</x:t>
        </x:is>
      </x:c>
      <x:c r="G11" s="12" t="inlineStr">
        <x:is>
          <x:t xml:space="preserve">22h</x:t>
        </x:is>
      </x:c>
      <x:c r="H11" s="11" t="inlineStr">
        <x:is>
          <x:t xml:space="preserve">—</x:t>
        </x:is>
      </x:c>
      <x:c r="I11" s="13" t="inlineStr">
        <x:is>
          <x:t xml:space="preserve">ssp.sh/brain/dimensional-modeling
ssp.sh/brain/slowly-changing-dimension
ssp.sh/brain/fact-table
Kimball Group articles</x:t>
        </x:is>
      </x:c>
    </x:row>
    <x:row r="12" ht="180" customHeight="1">
      <x:c r="A12" s="6" t="inlineStr">
        <x:is>
          <x:t xml:space="preserve">T7</x:t>
        </x:is>
      </x:c>
      <x:c r="B12" s="7" t="inlineStr">
        <x:is>
          <x:t xml:space="preserve">OLTP vs OLAP
+ Data Warehouse</x:t>
        </x:is>
      </x:c>
      <x:c r="C12" s="7" t="inlineStr">
        <x:is>
          <x:t xml:space="preserve">• OLTP vs OLAP: đặc điểm, use case
• ACID Transactions
• Data Warehouse: khái niệm, kiến trúc
• Cloud Data Warehouses: BigQuery, Snowflake, Redshift
• Compute &amp; Storage Separation
• Three Vs: Volume, Velocity, Variety</x:t>
        </x:is>
      </x:c>
      <x:c r="D12" s="7" t="inlineStr">
        <x:is>
          <x:t xml:space="preserve">✓ So sánh OLTP vs OLAP trên 5 tiêu chí
✓ Giải thích ACID với ví dụ chuyển tiền ngân hàng
✓ Mô tả kiến trúc Data Warehouse 3 tầng
✓ Giải thích tại sao tách Compute &amp; Storage quan trọng</x:t>
        </x:is>
      </x:c>
      <x:c r="E12" s="7" t="inlineStr">
        <x:is>
          <x:t xml:space="preserve">1. Đăng ký BigQuery free tier (Google Cloud)
2. Load dataset vào BigQuery, chạy truy vấn OLAP
3. So sánh query trên PostgreSQL (OLTP) vs BigQuery (OLAP)
4. Viết báo cáo so sánh hiệu năng</x:t>
        </x:is>
      </x:c>
      <x:c r="F12" s="7" t="inlineStr">
        <x:is>
          <x:t xml:space="preserve">Note: OLTP vs OLAP comparison table
Docs: BigQuery quickstart</x:t>
        </x:is>
      </x:c>
      <x:c r="G12" s="8" t="inlineStr">
        <x:is>
          <x:t xml:space="preserve">20h</x:t>
        </x:is>
      </x:c>
      <x:c r="H12" s="7" t="inlineStr">
        <x:is>
          <x:t xml:space="preserve">—</x:t>
        </x:is>
      </x:c>
      <x:c r="I12" s="9" t="inlineStr">
        <x:is>
          <x:t xml:space="preserve">ssp.sh/brain/oltp
ssp.sh/brain/olap
ssp.sh/brain/data-warehouse
cloud.google.com/bigquery/docs</x:t>
        </x:is>
      </x:c>
    </x:row>
    <x:row r="13" ht="180" customHeight="1">
      <x:c r="A13" s="10" t="inlineStr">
        <x:is>
          <x:t xml:space="preserve">T8</x:t>
        </x:is>
      </x:c>
      <x:c r="B13" s="11" t="inlineStr">
        <x:is>
          <x:t xml:space="preserve">Data Lake
+ Data Lakehouse</x:t>
        </x:is>
      </x:c>
      <x:c r="C13" s="11" t="inlineStr">
        <x:is>
          <x:t xml:space="preserve">• Data Lake: khái niệm, vì sao cần
• Data Lake vs Data Warehouse
• Data Lakehouse: kết hợp cả hai
• Medallion Architecture: Bronze → Silver → Gold
• Object Storage: S3, GCS, MinIO
• Data Mesh (overview)</x:t>
        </x:is>
      </x:c>
      <x:c r="D13" s="11" t="inlineStr">
        <x:is>
          <x:t xml:space="preserve">✓ Vẽ diagram phân biệt Lake vs Warehouse vs Lakehouse
✓ Giải thích Medallion Architecture với ví dụ cụ thể
✓ Upload/download file từ Object Storage bằng CLI
✓ Mô tả Data Mesh ở mức high-level</x:t>
        </x:is>
      </x:c>
      <x:c r="E13" s="11" t="inlineStr">
        <x:is>
          <x:t xml:space="preserve">1. Cài MinIO local (Docker), tạo bucket
2. Upload CSV/JSON dataset vào MinIO bằng CLI
3. Tổ chức data theo Medallion: raw/ → cleaned/ → aggregated/
4. Viết Python script đọc data từ MinIO → transform → ghi lại</x:t>
        </x:is>
      </x:c>
      <x:c r="F13" s="11" t="inlineStr">
        <x:is>
          <x:t xml:space="preserve">Note: Lake vs Warehouse vs Lakehouse
Diagram: Medallion Architecture</x:t>
        </x:is>
      </x:c>
      <x:c r="G13" s="12" t="inlineStr">
        <x:is>
          <x:t xml:space="preserve">24h</x:t>
        </x:is>
      </x:c>
      <x:c r="H13" s="11" t="inlineStr">
        <x:is>
          <x:t xml:space="preserve">PRESENT: Tổng kết Tháng 2
(Data Modeling + Storage)</x:t>
        </x:is>
      </x:c>
      <x:c r="I13" s="13" t="inlineStr">
        <x:is>
          <x:t xml:space="preserve">ssp.sh/brain/data-lake
ssp.sh/brain/data-lakehouse
ssp.sh/brain/medallion-architecture
min.io/docs</x:t>
        </x:is>
      </x:c>
    </x:row>
    <x:row r="14" ht="28" customHeight="1">
      <x:c r="A14" s="4" t="inlineStr">
        <x:is>
          <x:t xml:space="preserve">THÁNG 3 — ETL/ELT &amp; DATA PIPELINES (Day 57–84)</x:t>
        </x:is>
      </x:c>
      <x:c r="B14" s="5" t="n"/>
      <x:c r="C14" s="5" t="n"/>
      <x:c r="D14" s="5" t="n"/>
      <x:c r="E14" s="5" t="n"/>
      <x:c r="F14" s="5" t="n"/>
      <x:c r="G14" s="5" t="n"/>
      <x:c r="H14" s="5" t="n"/>
      <x:c r="I14" s="5" t="n"/>
    </x:row>
    <x:row r="15" ht="180" customHeight="1">
      <x:c r="A15" s="6" t="inlineStr">
        <x:is>
          <x:t xml:space="preserve">T9</x:t>
        </x:is>
      </x:c>
      <x:c r="B15" s="7" t="inlineStr">
        <x:is>
          <x:t xml:space="preserve">ETL vs ELT
+ Batch Processing</x:t>
        </x:is>
      </x:c>
      <x:c r="C15" s="7" t="inlineStr">
        <x:is>
          <x:t xml:space="preserve">• ETL: Extract → Transform → Load
• ELT: Extract → Load → Transform
• ETL vs ELT: khi nào dùng cái nào
• Batch vs Real-time processing
• Backfill: khái niệm và best practice
• Idempotency trong data pipeline</x:t>
        </x:is>
      </x:c>
      <x:c r="D15" s="7" t="inlineStr">
        <x:is>
          <x:t xml:space="preserve">✓ Giải thích ETL vs ELT bằng ví dụ thực tế
✓ Viết ETL pipeline đơn giản bằng Python
✓ Pipeline đảm bảo idempotent (chạy lại không lỗi)
✓ Mô tả khi nào cần backfill và cách thực hiện</x:t>
        </x:is>
      </x:c>
      <x:c r="E15" s="7" t="inlineStr">
        <x:is>
          <x:t xml:space="preserve">1. Viết Python ETL: extract từ API → transform (Pandas) → load vào PostgreSQL
2. Thêm error handling, logging, retry logic
3. Đảm bảo idempotency (UPSERT thay INSERT)
4. Test chạy lại pipeline 3 lần, verify data không duplicate</x:t>
        </x:is>
      </x:c>
      <x:c r="F15" s="7" t="inlineStr">
        <x:is>
          <x:t xml:space="preserve">Docs: ETL pipeline README
Note: Idempotency patterns</x:t>
        </x:is>
      </x:c>
      <x:c r="G15" s="8" t="inlineStr">
        <x:is>
          <x:t xml:space="preserve">22h</x:t>
        </x:is>
      </x:c>
      <x:c r="H15" s="7" t="inlineStr">
        <x:is>
          <x:t xml:space="preserve">—</x:t>
        </x:is>
      </x:c>
      <x:c r="I15" s="9" t="inlineStr">
        <x:is>
          <x:t xml:space="preserve">ssp.sh/brain/etl
ssp.sh/brain/elt
ssp.sh/brain/etl-vs-elt
ssp.sh/brain/idempotency
ssp.sh/brain/backfill</x:t>
        </x:is>
      </x:c>
    </x:row>
    <x:row r="16" ht="180" customHeight="1">
      <x:c r="A16" s="10" t="inlineStr">
        <x:is>
          <x:t xml:space="preserve">T10</x:t>
        </x:is>
      </x:c>
      <x:c r="B16" s="11" t="inlineStr">
        <x:is>
          <x:t xml:space="preserve">File Formats
(Parquet, Avro, JSON)</x:t>
        </x:is>
      </x:c>
      <x:c r="C16" s="11" t="inlineStr">
        <x:is>
          <x:t xml:space="preserve">• Data Lake File Formats: CSV, JSON, Parquet, Avro, ORC
• Apache Parquet: columnar, compression, schema
• Apache Avro: row-based, schema evolution
• Apache Arrow: in-memory columnar
• So sánh hiệu năng các format</x:t>
        </x:is>
      </x:c>
      <x:c r="D16" s="11" t="inlineStr">
        <x:is>
          <x:t xml:space="preserve">✓ Chuyển đổi CSV → Parquet → JSON bằng Python
✓ So sánh file size &amp; query speed: CSV vs Parquet
✓ Giải thích tại sao Parquet phù hợp cho analytics
✓ Mô tả schema evolution trong Avro</x:t>
        </x:is>
      </x:c>
      <x:c r="E16" s="11" t="inlineStr">
        <x:is>
          <x:t xml:space="preserve">1. Dùng PyArrow/Pandas chuyển CSV → Parquet
2. Benchmark: query 1M rows CSV vs Parquet (thời gian, bộ nhớ)
3. Viết script đọc/ghi Avro file
4. Load Parquet vào BigQuery, so sánh với CSV</x:t>
        </x:is>
      </x:c>
      <x:c r="F16" s="11" t="inlineStr">
        <x:is>
          <x:t xml:space="preserve">Note: File formats comparison table
Benchmark report</x:t>
        </x:is>
      </x:c>
      <x:c r="G16" s="12" t="inlineStr">
        <x:is>
          <x:t xml:space="preserve">20h</x:t>
        </x:is>
      </x:c>
      <x:c r="H16" s="11" t="inlineStr">
        <x:is>
          <x:t xml:space="preserve">—</x:t>
        </x:is>
      </x:c>
      <x:c r="I16" s="13" t="inlineStr">
        <x:is>
          <x:t xml:space="preserve">ssp.sh/brain/data-lake-file-formats
ssp.sh/brain/apache-parquet
ssp.sh/brain/apache-arrow
arrow.apache.org/docs/python</x:t>
        </x:is>
      </x:c>
    </x:row>
    <x:row r="17" ht="180" customHeight="1">
      <x:c r="A17" s="6" t="inlineStr">
        <x:is>
          <x:t xml:space="preserve">T11</x:t>
        </x:is>
      </x:c>
      <x:c r="B17" s="7" t="inlineStr">
        <x:is>
          <x:t xml:space="preserve">Apache Airflow cơ bản
(Orchestration)</x:t>
        </x:is>
      </x:c>
      <x:c r="C17" s="7" t="inlineStr">
        <x:is>
          <x:t xml:space="preserve">• Data Orchestration: tại sao cần
• DAG (Directed Acyclic Graph)
• Apache Airflow: architecture, scheduler, executor
• Operators: PythonOperator, BashOperator, PostgresOperator
• Task dependencies, trigger rules
• Airflow UI: monitor, retry, backfill</x:t>
        </x:is>
      </x:c>
      <x:c r="D17" s="7" t="inlineStr">
        <x:is>
          <x:t xml:space="preserve">✓ Viết DAG Airflow chạy ETL pipeline hàng ngày
✓ Cấu hình task dependencies đúng thứ tự
✓ Monitor DAG trên Airflow UI, retry task fail
✓ Giải thích DAG khác script Python thường thế nào</x:t>
        </x:is>
      </x:c>
      <x:c r="E17" s="7" t="inlineStr">
        <x:is>
          <x:t xml:space="preserve">1. Cài Airflow bằng Docker Compose (official image)
2. Viết DAG: extract API → transform → load PostgreSQL
3. Schedule DAG chạy daily, test backfill
4. Thêm alert email khi task fail</x:t>
        </x:is>
      </x:c>
      <x:c r="F17" s="7" t="inlineStr">
        <x:is>
          <x:t xml:space="preserve">Docs: Airflow DAG guide
Note: Airflow commands cheatsheet</x:t>
        </x:is>
      </x:c>
      <x:c r="G17" s="8" t="inlineStr">
        <x:is>
          <x:t xml:space="preserve">24h</x:t>
        </x:is>
      </x:c>
      <x:c r="H17" s="7" t="inlineStr">
        <x:is>
          <x:t xml:space="preserve">—</x:t>
        </x:is>
      </x:c>
      <x:c r="I17" s="9" t="inlineStr">
        <x:is>
          <x:t xml:space="preserve">ssp.sh/brain/data-orchestrators
ssp.sh/brain/dag
airflow.apache.org/docs
astro.io/guides</x:t>
        </x:is>
      </x:c>
    </x:row>
    <x:row r="18" ht="180" customHeight="1">
      <x:c r="A18" s="10" t="inlineStr">
        <x:is>
          <x:t xml:space="preserve">T12</x:t>
        </x:is>
      </x:c>
      <x:c r="B18" s="11" t="inlineStr">
        <x:is>
          <x:t xml:space="preserve">dbt cơ bản
(Transform layer)</x:t>
        </x:is>
      </x:c>
      <x:c r="C18" s="11" t="inlineStr">
        <x:is>
          <x:t xml:space="preserve">• dbt (data build tool): tại sao cần
• dbt models: SELECT-based transformation
• Materialization: view, table, incremental
• dbt tests: unique, not_null, custom
• dbt docs: auto-generate documentation
• Jinja templates trong dbt</x:t>
        </x:is>
      </x:c>
      <x:c r="D18" s="11" t="inlineStr">
        <x:is>
          <x:t xml:space="preserve">✓ Viết dbt model transform raw → staging → mart
✓ Cấu hình materialization phù hợp cho từng model
✓ Viết test data quality cho model
✓ Generate dbt docs và navigate lineage graph</x:t>
        </x:is>
      </x:c>
      <x:c r="E18" s="11" t="inlineStr">
        <x:is>
          <x:t xml:space="preserve">1. Cài dbt-core + dbt-postgres
2. Tạo dbt project: models/ staging → intermediate → mart
3. Viết 5+ models transform data bán hàng
4. Thêm tests + docs, generate lineage graph</x:t>
        </x:is>
      </x:c>
      <x:c r="F18" s="11" t="inlineStr">
        <x:is>
          <x:t xml:space="preserve">Docs: dbt project README
Note: dbt commands cheatsheet</x:t>
        </x:is>
      </x:c>
      <x:c r="G18" s="12" t="inlineStr">
        <x:is>
          <x:t xml:space="preserve">24h</x:t>
        </x:is>
      </x:c>
      <x:c r="H18" s="11" t="inlineStr">
        <x:is>
          <x:t xml:space="preserve">PRESENT: Tổng kết Tháng 3
(ETL pipeline + Airflow + dbt demo)</x:t>
        </x:is>
      </x:c>
      <x:c r="I18" s="13" t="inlineStr">
        <x:is>
          <x:t xml:space="preserve">ssp.sh/brain/dbt
getdbt.com/docs
courses.getdbt.com (free)
ssp.sh/brain/functional-data-engineering</x:t>
        </x:is>
      </x:c>
    </x:row>
    <x:row r="19" ht="28" customHeight="1">
      <x:c r="A19" s="4" t="inlineStr">
        <x:is>
          <x:t xml:space="preserve">THÁNG 4 — DOCKER, CLOUD &amp; STREAMING (Day 85–100+)</x:t>
        </x:is>
      </x:c>
      <x:c r="B19" s="5" t="n"/>
      <x:c r="C19" s="5" t="n"/>
      <x:c r="D19" s="5" t="n"/>
      <x:c r="E19" s="5" t="n"/>
      <x:c r="F19" s="5" t="n"/>
      <x:c r="G19" s="5" t="n"/>
      <x:c r="H19" s="5" t="n"/>
      <x:c r="I19" s="5" t="n"/>
    </x:row>
    <x:row r="20" ht="180" customHeight="1">
      <x:c r="A20" s="6" t="inlineStr">
        <x:is>
          <x:t xml:space="preserve">T13</x:t>
        </x:is>
      </x:c>
      <x:c r="B20" s="7" t="inlineStr">
        <x:is>
          <x:t xml:space="preserve">Docker cho DE
+ Docker Compose</x:t>
        </x:is>
      </x:c>
      <x:c r="C20" s="7" t="inlineStr">
        <x:is>
          <x:t xml:space="preserve">• Container vs VM
• Dockerfile: FROM, RUN, COPY, CMD
• Docker Compose: multi-service stack
• Containerize data pipeline
• Environment variables, volumes</x:t>
        </x:is>
      </x:c>
      <x:c r="D20" s="7" t="inlineStr">
        <x:is>
          <x:t xml:space="preserve">✓ Viết Dockerfile cho Python data pipeline
✓ Docker Compose: app + PostgreSQL + Airflow
✓ Data persist qua volume khi restart container
✓ Dùng .env file quản lý secrets an toàn</x:t>
        </x:is>
      </x:c>
      <x:c r="E20" s="7" t="inlineStr">
        <x:is>
          <x:t xml:space="preserve">1. Containerize ETL pipeline từ T9
2. Docker Compose: Airflow + PostgreSQL + MinIO
3. Verify pipeline chạy end-to-end trong containers
4. Push image lên Docker Hub</x:t>
        </x:is>
      </x:c>
      <x:c r="F20" s="7" t="inlineStr">
        <x:is>
          <x:t xml:space="preserve">Docs: Dockerfile best practices
Note: Docker Compose YAML guide</x:t>
        </x:is>
      </x:c>
      <x:c r="G20" s="8" t="inlineStr">
        <x:is>
          <x:t xml:space="preserve">22h</x:t>
        </x:is>
      </x:c>
      <x:c r="H20" s="7" t="inlineStr">
        <x:is>
          <x:t xml:space="preserve">—</x:t>
        </x:is>
      </x:c>
      <x:c r="I20" s="9" t="inlineStr">
        <x:is>
          <x:t xml:space="preserve">docs.docker.com
play-with-docker.com
ssp.sh/brain/data-engineering-toolkit</x:t>
        </x:is>
      </x:c>
    </x:row>
    <x:row r="21" ht="180" customHeight="1">
      <x:c r="A21" s="10" t="inlineStr">
        <x:is>
          <x:t xml:space="preserve">T14</x:t>
        </x:is>
      </x:c>
      <x:c r="B21" s="11" t="inlineStr">
        <x:is>
          <x:t xml:space="preserve">Cloud Platform
cơ bản (GCP/AWS)</x:t>
        </x:is>
      </x:c>
      <x:c r="C21" s="11" t="inlineStr">
        <x:is>
          <x:t xml:space="preserve">• Cloud services overview: compute, storage, database
• GCS/S3: object storage cho data lake
• BigQuery/Redshift: cloud data warehouse
• IAM: quản lý quyền truy cập
• Cloud CLI &amp; SDK</x:t>
        </x:is>
      </x:c>
      <x:c r="D21" s="11" t="inlineStr">
        <x:is>
          <x:t xml:space="preserve">✓ Upload data lên GCS/S3 bằng CLI
✓ Chạy query trên BigQuery với dataset public
✓ Cấu hình IAM service account
✓ So sánh chi phí lưu trữ: local vs cloud</x:t>
        </x:is>
      </x:c>
      <x:c r="E21" s="11" t="inlineStr">
        <x:is>
          <x:t xml:space="preserve">1. Setup GCP free tier, tạo project
2. Upload Parquet dataset lên GCS
3. Create BigQuery external table từ GCS
4. Viết query phân tích trên BigQuery</x:t>
        </x:is>
      </x:c>
      <x:c r="F21" s="11" t="inlineStr">
        <x:is>
          <x:t xml:space="preserve">Docs: Cloud setup guide
Note: GCP services map</x:t>
        </x:is>
      </x:c>
      <x:c r="G21" s="12" t="inlineStr">
        <x:is>
          <x:t xml:space="preserve">20h</x:t>
        </x:is>
      </x:c>
      <x:c r="H21" s="11" t="inlineStr">
        <x:is>
          <x:t xml:space="preserve">—</x:t>
        </x:is>
      </x:c>
      <x:c r="I21" s="13" t="inlineStr">
        <x:is>
          <x:t xml:space="preserve">cloud.google.com/docs
ssp.sh/brain/cloud-data-warehouses
ssp.sh/brain/compute-and-storage-separation</x:t>
        </x:is>
      </x:c>
    </x:row>
    <x:row r="22" ht="180" customHeight="1">
      <x:c r="A22" s="6" t="inlineStr">
        <x:is>
          <x:t xml:space="preserve">T15</x:t>
        </x:is>
      </x:c>
      <x:c r="B22" s="7" t="inlineStr">
        <x:is>
          <x:t xml:space="preserve">CDC &amp; Stream Processing
(Kafka intro)</x:t>
        </x:is>
      </x:c>
      <x:c r="C22" s="7" t="inlineStr">
        <x:is>
          <x:t xml:space="preserve">• Change Data Capture (CDC): khái niệm
• Stream vs Batch processing
• Apache Kafka: broker, topic, partition, consumer group
• Event-driven architecture
• Delta-Load options</x:t>
        </x:is>
      </x:c>
      <x:c r="D22" s="7" t="inlineStr">
        <x:is>
          <x:t xml:space="preserve">✓ Giải thích CDC hoạt động thế nào
✓ Produce/consume message trên Kafka
✓ So sánh Batch vs Stream với ví dụ thực tế
✓ Mô tả use case CDC trong data pipeline</x:t>
        </x:is>
      </x:c>
      <x:c r="E22" s="7" t="inlineStr">
        <x:is>
          <x:t xml:space="preserve">1. Cài Kafka bằng Docker Compose
2. Tạo topic, produce &amp; consume messages bằng Python
3. Simulate CDC: detect thay đổi trong DB → push Kafka
4. Consumer đọc message → ghi vào data warehouse</x:t>
        </x:is>
      </x:c>
      <x:c r="F22" s="7" t="inlineStr">
        <x:is>
          <x:t xml:space="preserve">Note: Kafka architecture diagram
Docs: CDC patterns</x:t>
        </x:is>
      </x:c>
      <x:c r="G22" s="8" t="inlineStr">
        <x:is>
          <x:t xml:space="preserve">24h</x:t>
        </x:is>
      </x:c>
      <x:c r="H22" s="7" t="inlineStr">
        <x:is>
          <x:t xml:space="preserve">—</x:t>
        </x:is>
      </x:c>
      <x:c r="I22" s="9" t="inlineStr">
        <x:is>
          <x:t xml:space="preserve">ssp.sh/brain/change-data-capture-cdc
ssp.sh/brain/stream-processing
ssp.sh/brain/apache-kafka
kafka.apache.org/quickstart</x:t>
        </x:is>
      </x:c>
    </x:row>
    <x:row r="23" ht="180" customHeight="1">
      <x:c r="A23" s="10" t="inlineStr">
        <x:is>
          <x:t xml:space="preserve">T16</x:t>
        </x:is>
      </x:c>
      <x:c r="B23" s="11" t="inlineStr">
        <x:is>
          <x:t xml:space="preserve">Data Governance
&amp; Data Quality</x:t>
        </x:is>
      </x:c>
      <x:c r="C23" s="11" t="inlineStr">
        <x:is>
          <x:t xml:space="preserve">• Data Governance: tại sao quan trọng
• Data Lineage: theo dõi dòng chảy data
• Data Catalog: tổ chức metadata
• Data Contracts: giao kèo giữa producer/consumer
• Schema Evolution &amp; Schema Registry
• Data Quality: completeness, accuracy, freshness</x:t>
        </x:is>
      </x:c>
      <x:c r="D23" s="11" t="inlineStr">
        <x:is>
          <x:t xml:space="preserve">✓ Vẽ data lineage diagram cho pipeline đã build
✓ Giải thích Data Contract giải quyết vấn đề gì
✓ Implement schema validation trong pipeline
✓ Viết data quality checks (Great Expectations hoặc dbt tests)</x:t>
        </x:is>
      </x:c>
      <x:c r="E23" s="11" t="inlineStr">
        <x:is>
          <x:t xml:space="preserve">1. Vẽ data lineage cho toàn bộ pipeline project
2. Viết data contract YAML cho 1 dataset
3. Thêm schema validation vào ETL pipeline
4. Setup Great Expectations: 5+ expectations cho dataset</x:t>
        </x:is>
      </x:c>
      <x:c r="F23" s="11" t="inlineStr">
        <x:is>
          <x:t xml:space="preserve">Docs: Data Governance overview
Note: Data quality checklist</x:t>
        </x:is>
      </x:c>
      <x:c r="G23" s="12" t="inlineStr">
        <x:is>
          <x:t xml:space="preserve">24h</x:t>
        </x:is>
      </x:c>
      <x:c r="H23" s="11" t="inlineStr">
        <x:is>
          <x:t xml:space="preserve">PRESENT: Tổng kết Tháng 4
(Docker + Cloud + Streaming + Governance)</x:t>
        </x:is>
      </x:c>
      <x:c r="I23" s="13" t="inlineStr">
        <x:is>
          <x:t xml:space="preserve">ssp.sh/brain/data-governance
ssp.sh/brain/data-lineage
ssp.sh/brain/data-contracts
ssp.sh/brain/schema-evolution
greatexpectations.io/docs</x:t>
        </x:is>
      </x:c>
    </x:row>
    <x:row r="24" ht="28" customHeight="1">
      <x:c r="A24" s="4" t="inlineStr">
        <x:is>
          <x:t xml:space="preserve">THÁNG 5 — DATA ARCHITECTURE &amp; BI (Mở rộng kiến thức)</x:t>
        </x:is>
      </x:c>
      <x:c r="B24" s="5" t="n"/>
      <x:c r="C24" s="5" t="n"/>
      <x:c r="D24" s="5" t="n"/>
      <x:c r="E24" s="5" t="n"/>
      <x:c r="F24" s="5" t="n"/>
      <x:c r="G24" s="5" t="n"/>
      <x:c r="H24" s="5" t="n"/>
      <x:c r="I24" s="5" t="n"/>
    </x:row>
    <x:row r="25" ht="180" customHeight="1">
      <x:c r="A25" s="6" t="inlineStr">
        <x:is>
          <x:t xml:space="preserve">T17</x:t>
        </x:is>
      </x:c>
      <x:c r="B25" s="7" t="inlineStr">
        <x:is>
          <x:t xml:space="preserve">Modern Data Stack
&amp; Kiến trúc DE</x:t>
        </x:is>
      </x:c>
      <x:c r="C25" s="7" t="inlineStr">
        <x:is>
          <x:t xml:space="preserve">• Data Engineering Architecture tổng quan
• Modern Data Stack: Fivetran + dbt + Snowflake + Looker
• Open Data Stack: open-source alternatives
• Declarative vs Imperative pipeline
• Dagster vs Airflow comparison</x:t>
        </x:is>
      </x:c>
      <x:c r="D25" s="7" t="inlineStr">
        <x:is>
          <x:t xml:space="preserve">✓ Vẽ diagram Modern Data Stack đầy đủ các layer
✓ So sánh 3 kiến trúc: MDS vs Open vs Declarative
✓ Giải thích Declarative vs Imperative pipeline
✓ Evaluate khi nào chọn Airflow vs Dagster</x:t>
        </x:is>
      </x:c>
      <x:c r="E25" s="7" t="inlineStr">
        <x:is>
          <x:t xml:space="preserve">1. Vẽ architecture diagram cho 3 kiến trúc
2. Cài Dagster, viết pipeline đơn giản (Software-Defined Assets)
3. So sánh trải nghiệm Dagster vs Airflow
4. Viết blog post tổng hợp Modern Data Stack</x:t>
        </x:is>
      </x:c>
      <x:c r="F25" s="7" t="inlineStr">
        <x:is>
          <x:t xml:space="preserve">Docs: Architecture comparison
Blog draft: Modern Data Stack</x:t>
        </x:is>
      </x:c>
      <x:c r="G25" s="8" t="inlineStr">
        <x:is>
          <x:t xml:space="preserve">20h</x:t>
        </x:is>
      </x:c>
      <x:c r="H25" s="7" t="inlineStr">
        <x:is>
          <x:t xml:space="preserve">—</x:t>
        </x:is>
      </x:c>
      <x:c r="I25" s="9" t="inlineStr">
        <x:is>
          <x:t xml:space="preserve">ssp.sh/brain/modern-data-stack
ssp.sh/brain/open-data-stack
ssp.sh/brain/data-engineering-architecture
ssp.sh/brain/dagster
dagster.io/docs</x:t>
        </x:is>
      </x:c>
    </x:row>
    <x:row r="26" ht="180" customHeight="1">
      <x:c r="A26" s="10" t="inlineStr">
        <x:is>
          <x:t xml:space="preserve">T18</x:t>
        </x:is>
      </x:c>
      <x:c r="B26" s="11" t="inlineStr">
        <x:is>
          <x:t xml:space="preserve">Table Formats
(Iceberg, Delta Lake)</x:t>
        </x:is>
      </x:c>
      <x:c r="C26" s="11" t="inlineStr">
        <x:is>
          <x:t xml:space="preserve">• Data Lake Table Format: tại sao cần
• Apache Iceberg: architecture, partitioning
• Delta Lake: ACID trên data lake
• Time Travel: query data tại thời điểm cũ
• Iceberg vs Delta Lake comparison</x:t>
        </x:is>
      </x:c>
      <x:c r="D26" s="11" t="inlineStr">
        <x:is>
          <x:t xml:space="preserve">✓ Giải thích table format giải quyết vấn đề gì của data lake
✓ Tạo Iceberg table, thực hiện time travel query
✓ So sánh Iceberg vs Delta Lake trên 5 tiêu chí
✓ Mô tả schema evolution trong table format</x:t>
        </x:is>
      </x:c>
      <x:c r="E26" s="11" t="inlineStr">
        <x:is>
          <x:t xml:space="preserve">1. Setup PySpark + Iceberg local
2. Tạo table, insert data, query lịch sử (time travel)
3. Thực hiện schema evolution: thêm/đổi tên cột
4. Viết comparison doc: Iceberg vs Delta Lake</x:t>
        </x:is>
      </x:c>
      <x:c r="F26" s="11" t="inlineStr">
        <x:is>
          <x:t xml:space="preserve">Note: Table formats comparison
Docs: Time travel demo</x:t>
        </x:is>
      </x:c>
      <x:c r="G26" s="12" t="inlineStr">
        <x:is>
          <x:t xml:space="preserve">22h</x:t>
        </x:is>
      </x:c>
      <x:c r="H26" s="11" t="inlineStr">
        <x:is>
          <x:t xml:space="preserve">—</x:t>
        </x:is>
      </x:c>
      <x:c r="I26" s="13" t="inlineStr">
        <x:is>
          <x:t xml:space="preserve">ssp.sh/brain/data-lake-table-format
ssp.sh/brain/apache-iceberg
ssp.sh/brain/delta-lake
ssp.sh/brain/time-travel
iceberg.apache.org/docs</x:t>
        </x:is>
      </x:c>
    </x:row>
    <x:row r="27" ht="180" customHeight="1">
      <x:c r="A27" s="6" t="inlineStr">
        <x:is>
          <x:t xml:space="preserve">T19</x:t>
        </x:is>
      </x:c>
      <x:c r="B27" s="7" t="inlineStr">
        <x:is>
          <x:t xml:space="preserve">BI &amp; Semantic Layer
+ OLAP</x:t>
        </x:is>
      </x:c>
      <x:c r="C27" s="7" t="inlineStr">
        <x:is>
          <x:t xml:space="preserve">• Business Intelligence: khái niệm
• BI Tools: Metabase, Superset, Looker, Tableau
• Semantic Layer &amp; Metrics Layer
• Modern OLAP Systems
• Pivot Table, Cube concept</x:t>
        </x:is>
      </x:c>
      <x:c r="D27" s="7" t="inlineStr">
        <x:is>
          <x:t xml:space="preserve">✓ Kết nối BI tool vào data warehouse, tạo dashboard
✓ Giải thích Semantic Layer giải quyết vấn đề gì
✓ Tạo dashboard 5+ charts phân tích business
✓ Mô tả data flow: source → warehouse → BI</x:t>
        </x:is>
      </x:c>
      <x:c r="E27" s="7" t="inlineStr">
        <x:is>
          <x:t xml:space="preserve">1. Cài Metabase (Docker), kết nối PostgreSQL
2. Tạo dashboard: revenue, orders, customer segments
3. Viết metrics definition document
4. Share dashboard, thu thập feedback</x:t>
        </x:is>
      </x:c>
      <x:c r="F27" s="7" t="inlineStr">
        <x:is>
          <x:t xml:space="preserve">Docs: BI dashboard guide
Note: Metrics definition doc</x:t>
        </x:is>
      </x:c>
      <x:c r="G27" s="8" t="inlineStr">
        <x:is>
          <x:t xml:space="preserve">20h</x:t>
        </x:is>
      </x:c>
      <x:c r="H27" s="7" t="inlineStr">
        <x:is>
          <x:t xml:space="preserve">—</x:t>
        </x:is>
      </x:c>
      <x:c r="I27" s="9" t="inlineStr">
        <x:is>
          <x:t xml:space="preserve">ssp.sh/brain/business-intelligence
ssp.sh/brain/semantic-layer
ssp.sh/brain/bi-tools
metabase.com/docs</x:t>
        </x:is>
      </x:c>
    </x:row>
    <x:row r="28" ht="180" customHeight="1">
      <x:c r="A28" s="10" t="inlineStr">
        <x:is>
          <x:t xml:space="preserve">T20</x:t>
        </x:is>
      </x:c>
      <x:c r="B28" s="11" t="inlineStr">
        <x:is>
          <x:t xml:space="preserve">DE Career &amp; Soft Skills
+ Spark giới thiệu</x:t>
        </x:is>
      </x:c>
      <x:c r="C28" s="11" t="inlineStr">
        <x:is>
          <x:t xml:space="preserve">• Data Engineering Lifecycle overview
• DE vs Software Engineer: khác nhau thế nào
• Role of a Data Engineer trong tổ chức
• Apache Spark: overview, RDD, DataFrame
• RAG (Retrieval-Augmented Generation) cho DE</x:t>
        </x:is>
      </x:c>
      <x:c r="D28" s="11" t="inlineStr">
        <x:is>
          <x:t xml:space="preserve">✓ Mô tả Data Engineering Lifecycle đầy đủ 5 giai đoạn
✓ Giải thích DE khác SE ở đâu, overlap ở đâu
✓ Chạy Spark job đơn giản transform data
✓ Xác định career path: DE → Senior DE → Staff DE</x:t>
        </x:is>
      </x:c>
      <x:c r="E28" s="11" t="inlineStr">
        <x:is>
          <x:t xml:space="preserve">1. Đọc &amp; tóm tắt Data Engineering Lifecycle
2. Cài PySpark local, chạy transform trên dataset lớn
3. So sánh Pandas vs PySpark trên dataset 1M+ rows
4. Viết Career Development Plan cá nhân</x:t>
        </x:is>
      </x:c>
      <x:c r="F28" s="11" t="inlineStr">
        <x:is>
          <x:t xml:space="preserve">Blog: DE vs SE comparison
Note: Career development plan</x:t>
        </x:is>
      </x:c>
      <x:c r="G28" s="12" t="inlineStr">
        <x:is>
          <x:t xml:space="preserve">22h</x:t>
        </x:is>
      </x:c>
      <x:c r="H28" s="11" t="inlineStr">
        <x:is>
          <x:t xml:space="preserve">PRESENT: Tổng kết Tháng 5
(Architecture + BI + Career)</x:t>
        </x:is>
      </x:c>
      <x:c r="I28" s="13" t="inlineStr">
        <x:is>
          <x:t xml:space="preserve">ssp.sh/brain/data-engineering-lifecycle
ssp.sh/brain/data-engineer-vs-software-engineer
ssp.sh/brain/the-role-of-a-data-engineer
spark.apache.org/docs</x:t>
        </x:is>
      </x:c>
    </x:row>
    <x:row r="29" ht="28" customHeight="1">
      <x:c r="A29" s="4" t="inlineStr">
        <x:is>
          <x:t xml:space="preserve">THÁNG 6 — CAPSTONE PROJECT: END-TO-END DATA PIPELINE</x:t>
        </x:is>
      </x:c>
      <x:c r="B29" s="5" t="n"/>
      <x:c r="C29" s="5" t="n"/>
      <x:c r="D29" s="5" t="n"/>
      <x:c r="E29" s="5" t="n"/>
      <x:c r="F29" s="5" t="n"/>
      <x:c r="G29" s="5" t="n"/>
      <x:c r="H29" s="5" t="n"/>
      <x:c r="I29" s="5" t="n"/>
    </x:row>
    <x:row r="30" ht="180" customHeight="1">
      <x:c r="A30" s="6" t="inlineStr">
        <x:is>
          <x:t xml:space="preserve">T21</x:t>
        </x:is>
      </x:c>
      <x:c r="B30" s="7" t="inlineStr">
        <x:is>
          <x:t xml:space="preserve">Project Planning
&amp; System Design</x:t>
        </x:is>
      </x:c>
      <x:c r="C30" s="7" t="inlineStr">
        <x:is>
          <x:t xml:space="preserve">• Chọn dataset thực tế (API hoặc Kaggle)
• Thiết kế kiến trúc end-to-end pipeline
• Xác định tech stack: ingestion → storage → transform → serve
• Data modeling cho project
• SLA/SLO cho data freshness</x:t>
        </x:is>
      </x:c>
      <x:c r="D30" s="7" t="inlineStr">
        <x:is>
          <x:t xml:space="preserve">✓ Thiết kế architecture diagram đầy đủ
✓ Data model: Star Schema phù hợp business question
✓ Xác định SLA: data fresh trong vòng X giờ
✓ Viết Architecture Decision Record (ADR)</x:t>
        </x:is>
      </x:c>
      <x:c r="E30" s="7" t="inlineStr">
        <x:is>
          <x:t xml:space="preserve">1. Viết Project Proposal: vấn đề, giải pháp, tech stack
2. Vẽ architecture diagram (draw.io)
3. Thiết kế data model: ERD + Star Schema
4. Setup repo GitHub với README, .gitignore</x:t>
        </x:is>
      </x:c>
      <x:c r="F30" s="7" t="inlineStr">
        <x:is>
          <x:t xml:space="preserve">Docs: Project Proposal
Diagram: Architecture
Docs: ADR document</x:t>
        </x:is>
      </x:c>
      <x:c r="G30" s="8" t="inlineStr">
        <x:is>
          <x:t xml:space="preserve">24h</x:t>
        </x:is>
      </x:c>
      <x:c r="H30" s="7" t="inlineStr">
        <x:is>
          <x:t xml:space="preserve">—</x:t>
        </x:is>
      </x:c>
      <x:c r="I30" s="9" t="inlineStr">
        <x:is>
          <x:t xml:space="preserve">ssp.sh/brain/data-engineering-approaches
Lucia: DE project ideas
SeattleDataGuy: project guide</x:t>
        </x:is>
      </x:c>
    </x:row>
    <x:row r="31" ht="180" customHeight="1">
      <x:c r="A31" s="10" t="inlineStr">
        <x:is>
          <x:t xml:space="preserve">T22</x:t>
        </x:is>
      </x:c>
      <x:c r="B31" s="11" t="inlineStr">
        <x:is>
          <x:t xml:space="preserve">Build Pipeline
Ingestion + Transform</x:t>
        </x:is>
      </x:c>
      <x:c r="C31" s="11" t="inlineStr">
        <x:is>
          <x:t xml:space="preserve">• Implement extraction layer (API/CSV/DB)
• Load raw data vào data lake (MinIO/GCS)
• Transform: dbt models hoặc Python
• Orchestrate với Airflow
• Containerize toàn bộ bằng Docker Compose</x:t>
        </x:is>
      </x:c>
      <x:c r="D31" s="11" t="inlineStr">
        <x:is>
          <x:t xml:space="preserve">✓ Pipeline extract data tự động theo schedule
✓ Raw → Staging → Mart transformation hoàn chỉnh
✓ Airflow DAG chạy daily không lỗi
✓ Toàn bộ stack chạy bằng 1 lệnh docker compose up</x:t>
        </x:is>
      </x:c>
      <x:c r="E31" s="11" t="inlineStr">
        <x:is>
          <x:t xml:space="preserve">1. Code extraction script + dbt models
2. Viết Airflow DAG orchestrate toàn bộ flow
3. Docker Compose: Airflow + PostgreSQL + MinIO + dbt
4. Test end-to-end: verify data flow qua từng layer</x:t>
        </x:is>
      </x:c>
      <x:c r="F31" s="11" t="inlineStr">
        <x:is>
          <x:t xml:space="preserve">Docs: Pipeline README
Note: Troubleshooting log</x:t>
        </x:is>
      </x:c>
      <x:c r="G31" s="12" t="inlineStr">
        <x:is>
          <x:t xml:space="preserve">28h</x:t>
        </x:is>
      </x:c>
      <x:c r="H31" s="11" t="inlineStr">
        <x:is>
          <x:t xml:space="preserve">—</x:t>
        </x:is>
      </x:c>
      <x:c r="I31" s="13" t="inlineStr">
        <x:is>
          <x:t xml:space="preserve">Tất cả tài liệu từ T1–T20</x:t>
        </x:is>
      </x:c>
    </x:row>
    <x:row r="32" ht="180" customHeight="1">
      <x:c r="A32" s="6" t="inlineStr">
        <x:is>
          <x:t xml:space="preserve">T23</x:t>
        </x:is>
      </x:c>
      <x:c r="B32" s="7" t="inlineStr">
        <x:is>
          <x:t xml:space="preserve">Dashboard + Testing
+ Documentation</x:t>
        </x:is>
      </x:c>
      <x:c r="C32" s="7" t="inlineStr">
        <x:is>
          <x:t xml:space="preserve">• Kết nối BI tool vào mart layer
• Tạo dashboard phân tích
• Data quality tests (dbt tests + Great Expectations)
• Viết documentation đầy đủ
• CI/CD cho dbt (GitHub Actions)</x:t>
        </x:is>
      </x:c>
      <x:c r="D32" s="7" t="inlineStr">
        <x:is>
          <x:t xml:space="preserve">✓ Dashboard 5+ charts trả lời business questions
✓ Data quality tests pass 100%
✓ CI/CD tự động chạy dbt test khi push code
✓ Documentation đủ cho người mới đọc hiểu</x:t>
        </x:is>
      </x:c>
      <x:c r="E32" s="7" t="inlineStr">
        <x:is>
          <x:t xml:space="preserve">1. Tạo Metabase dashboard kết nối mart tables
2. Viết 10+ data quality tests
3. Setup GitHub Actions: lint → dbt test → dbt run
4. Viết full documentation: setup guide, architecture, data dictionary</x:t>
        </x:is>
      </x:c>
      <x:c r="F32" s="7" t="inlineStr">
        <x:is>
          <x:t xml:space="preserve">Docs: Data Dictionary
Docs: Setup Guide
Slide deck (draft)</x:t>
        </x:is>
      </x:c>
      <x:c r="G32" s="8" t="inlineStr">
        <x:is>
          <x:t xml:space="preserve">26h</x:t>
        </x:is>
      </x:c>
      <x:c r="H32" s="7" t="inlineStr">
        <x:is>
          <x:t xml:space="preserve">—</x:t>
        </x:is>
      </x:c>
      <x:c r="I32" s="9" t="inlineStr">
        <x:is>
          <x:t xml:space="preserve">greatexpectations.io
docs.github.com/actions</x:t>
        </x:is>
      </x:c>
    </x:row>
    <x:row r="33" ht="180" customHeight="1">
      <x:c r="A33" s="10" t="inlineStr">
        <x:is>
          <x:t xml:space="preserve">T24</x:t>
        </x:is>
      </x:c>
      <x:c r="B33" s="11" t="inlineStr">
        <x:is>
          <x:t xml:space="preserve">Polish + Present
+ Career Prep</x:t>
        </x:is>
      </x:c>
      <x:c r="C33" s="11" t="inlineStr">
        <x:is>
          <x:t xml:space="preserve">• Review code, clean up repo
• Viết blog post / case study về project
• Chuẩn bị portfolio: GitHub + resume
• Mock interview: SQL + system design
• Xác định next steps: apply DE intern/junior</x:t>
        </x:is>
      </x:c>
      <x:c r="D33" s="11" t="inlineStr">
        <x:is>
          <x:t xml:space="preserve">✓ GitHub repo clean, README professional
✓ Blog post / case study publish được
✓ Resume cập nhật với DE project
✓ Trả lời 10 câu hỏi phỏng vấn DE phổ biến</x:t>
        </x:is>
      </x:c>
      <x:c r="E33" s="11" t="inlineStr">
        <x:is>
          <x:t xml:space="preserve">1. Polish GitHub repo: README, screenshots, architecture diagram
2. Viết blog post tổng kết project
3. Cập nhật resume/CV với DE skills &amp; project
4. Mock interview: 10 câu SQL + 5 câu system design</x:t>
        </x:is>
      </x:c>
      <x:c r="F33" s="11" t="inlineStr">
        <x:is>
          <x:t xml:space="preserve">Blog: Project case study
Resume updated
Báo cáo tổng kết (final)</x:t>
        </x:is>
      </x:c>
      <x:c r="G33" s="12" t="inlineStr">
        <x:is>
          <x:t xml:space="preserve">22h</x:t>
        </x:is>
      </x:c>
      <x:c r="H33" s="11" t="inlineStr">
        <x:is>
          <x:t xml:space="preserve">PRESENT: Demo project cuối khóa
(Architecture → Pipeline → Dashboard → Lessons learned)</x:t>
        </x:is>
      </x:c>
      <x:c r="I33" s="13" t="inlineStr">
        <x:is>
          <x:t xml:space="preserve">ssp.sh/brain/data-engineering
SeattleDataGuy Discord
interviewquery.com
dataengineer.io</x:t>
        </x:is>
      </x:c>
    </x:row>
  </x:sheetData>
  <x:mergeCells>
    <x:mergeCell ref="A29:I29"/>
    <x:mergeCell ref="A2:I2"/>
    <x:mergeCell ref="A19:I19"/>
    <x:mergeCell ref="A14:I14"/>
    <x:mergeCell ref="A1:I1"/>
    <x:mergeCell ref="A9:I9"/>
    <x:mergeCell ref="A4:I4"/>
    <x:mergeCell ref="A24:I24"/>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12" customWidth="1"/>
    <x:col min="2" max="2" width="25" customWidth="1"/>
    <x:col min="3" max="3" width="45" customWidth="1"/>
    <x:col min="4" max="4" width="40" customWidth="1"/>
  </x:cols>
  <x:sheetData>
    <x:row r="1">
      <x:c r="A1" s="14" t="inlineStr">
        <x:is>
          <x:t xml:space="preserve">TỔNG QUAN LỘ TRÌNH DATA ENGINEERING 6 THÁNG</x:t>
        </x:is>
      </x:c>
    </x:row>
    <x:row r="3">
      <x:c r="A3" s="3" t="inlineStr">
        <x:is>
          <x:t xml:space="preserve">Tháng</x:t>
        </x:is>
      </x:c>
      <x:c r="B3" s="3" t="inlineStr">
        <x:is>
          <x:t xml:space="preserve">Chủ đề chính</x:t>
        </x:is>
      </x:c>
      <x:c r="C3" s="3" t="inlineStr">
        <x:is>
          <x:t xml:space="preserve">Concepts (Simon Späti)</x:t>
        </x:is>
      </x:c>
      <x:c r="D3" s="3" t="inlineStr">
        <x:is>
          <x:t xml:space="preserve">Kỹ năng đạt được</x:t>
        </x:is>
      </x:c>
    </x:row>
    <x:row r="4" ht="60" customHeight="1">
      <x:c r="A4" s="15" t="inlineStr">
        <x:is>
          <x:t xml:space="preserve">Tháng 1</x:t>
        </x:is>
      </x:c>
      <x:c r="B4" s="7" t="inlineStr">
        <x:is>
          <x:t xml:space="preserve">SQL &amp; Programming</x:t>
        </x:is>
      </x:c>
      <x:c r="C4" s="7" t="inlineStr">
        <x:is>
          <x:t xml:space="preserve">CTE, Materialized Views, Full Table Scan, Push-downs</x:t>
        </x:is>
      </x:c>
      <x:c r="D4" s="7" t="inlineStr">
        <x:is>
          <x:t xml:space="preserve">SQL nâng cao, Python/Pandas, Git</x:t>
        </x:is>
      </x:c>
    </x:row>
    <x:row r="5" ht="60" customHeight="1">
      <x:c r="A5" s="16" t="inlineStr">
        <x:is>
          <x:t xml:space="preserve">Tháng 2</x:t>
        </x:is>
      </x:c>
      <x:c r="B5" s="11" t="inlineStr">
        <x:is>
          <x:t xml:space="preserve">Data Modeling &amp; Storage</x:t>
        </x:is>
      </x:c>
      <x:c r="C5" s="11" t="inlineStr">
        <x:is>
          <x:t xml:space="preserve">Data Modeling, Normalization, Dimensional Modeling, OLTP/OLAP, Data Warehouse, Data Lake, Data Lakehouse, Medallion Architecture</x:t>
        </x:is>
      </x:c>
      <x:c r="D5" s="11" t="inlineStr">
        <x:is>
          <x:t xml:space="preserve">ERD, Star Schema, SCD, BigQuery, MinIO</x:t>
        </x:is>
      </x:c>
    </x:row>
    <x:row r="6" ht="60" customHeight="1">
      <x:c r="A6" s="15" t="inlineStr">
        <x:is>
          <x:t xml:space="preserve">Tháng 3</x:t>
        </x:is>
      </x:c>
      <x:c r="B6" s="7" t="inlineStr">
        <x:is>
          <x:t xml:space="preserve">ETL/ELT &amp; Pipelines</x:t>
        </x:is>
      </x:c>
      <x:c r="C6" s="7" t="inlineStr">
        <x:is>
          <x:t xml:space="preserve">ETL, ELT, Backfill, Idempotency, DAG, Parquet, Arrow, Avro, dbt, Airflow</x:t>
        </x:is>
      </x:c>
      <x:c r="D6" s="7" t="inlineStr">
        <x:is>
          <x:t xml:space="preserve">ETL pipeline, Airflow DAGs, dbt models, file formats</x:t>
        </x:is>
      </x:c>
    </x:row>
    <x:row r="7" ht="60" customHeight="1">
      <x:c r="A7" s="16" t="inlineStr">
        <x:is>
          <x:t xml:space="preserve">Tháng 4</x:t>
        </x:is>
      </x:c>
      <x:c r="B7" s="11" t="inlineStr">
        <x:is>
          <x:t xml:space="preserve">Docker, Cloud &amp; Streaming</x:t>
        </x:is>
      </x:c>
      <x:c r="C7" s="11" t="inlineStr">
        <x:is>
          <x:t xml:space="preserve">CDC, Stream Processing, Kafka, Data Governance, Data Lineage, Data Contracts, Schema Evolution</x:t>
        </x:is>
      </x:c>
      <x:c r="D7" s="11" t="inlineStr">
        <x:is>
          <x:t xml:space="preserve">Docker, GCP/AWS, Kafka, data quality</x:t>
        </x:is>
      </x:c>
    </x:row>
    <x:row r="8" ht="60" customHeight="1">
      <x:c r="A8" s="15" t="inlineStr">
        <x:is>
          <x:t xml:space="preserve">Tháng 5</x:t>
        </x:is>
      </x:c>
      <x:c r="B8" s="7" t="inlineStr">
        <x:is>
          <x:t xml:space="preserve">Architecture &amp; BI</x:t>
        </x:is>
      </x:c>
      <x:c r="C8" s="7" t="inlineStr">
        <x:is>
          <x:t xml:space="preserve">Modern Data Stack, Data Mesh, Iceberg, Delta Lake, Semantic Layer, BI Tools, DE Lifecycle</x:t>
        </x:is>
      </x:c>
      <x:c r="D8" s="7" t="inlineStr">
        <x:is>
          <x:t xml:space="preserve">Architecture design, BI dashboard, PySpark, career planning</x:t>
        </x:is>
      </x:c>
    </x:row>
    <x:row r="9" ht="60" customHeight="1">
      <x:c r="A9" s="16" t="inlineStr">
        <x:is>
          <x:t xml:space="preserve">Tháng 6</x:t>
        </x:is>
      </x:c>
      <x:c r="B9" s="11" t="inlineStr">
        <x:is>
          <x:t xml:space="preserve">Capstone Project</x:t>
        </x:is>
      </x:c>
      <x:c r="C9" s="11" t="inlineStr">
        <x:is>
          <x:t xml:space="preserve">Tất cả concepts tích hợp vào project thực tế end-to-end</x:t>
        </x:is>
      </x:c>
      <x:c r="D9" s="11" t="inlineStr">
        <x:is>
          <x:t xml:space="preserve">End-to-end pipeline, portfolio, resume, interview prep</x:t>
        </x:is>
      </x:c>
    </x:row>
  </x:sheetData>
  <x:mergeCells>
    <x:mergeCell ref="A1:D1"/>
  </x:mergeCells>
  <x:pageMargins left="0.7" right="0.7" top="0.75" bottom="0.75" header="0.3" footer="0.3"/>
</x:worksheet>
</file>

<file path=xl/worksheets/sheet3.xml><?xml version="1.0" encoding="utf-8"?>
<x:worksheet xmlns:x="http://schemas.openxmlformats.org/spreadsheetml/2006/main">
  <x:sheetFormatPr defaultRowHeight="15"/>
  <x:cols>
    <x:col min="1" max="1" width="22" hidden="0" customWidth="1"/>
    <x:col min="2" max="2" width="45" hidden="0" customWidth="1"/>
    <x:col min="3" max="3" width="16" hidden="0" customWidth="1"/>
    <x:col min="4" max="4" width="34" hidden="0" customWidth="1"/>
    <x:col min="5" max="5" width="34" hidden="0" customWidth="1"/>
  </x:cols>
  <x:sheetData>
    <x:row r="1">
      <x:c r="A1" s="37" t="str">
        <x:v>TỔNG QUAN BẢN LỘ TRÌNH ĐÃ SỬA</x:v>
      </x:c>
      <x:c r="B1" s="37"/>
      <x:c r="C1" s="37"/>
      <x:c r="D1" s="37"/>
      <x:c r="E1" s="37"/>
    </x:row>
    <x:row r="2">
      <x:c r="B2" s="64"/>
    </x:row>
    <x:row r="3">
      <x:c r="A3" s="54" t="str">
        <x:v>Chỉ số</x:v>
      </x:c>
      <x:c r="B3" s="65" t="str">
        <x:v>Giá trị</x:v>
      </x:c>
      <x:c r="C3" s="54" t="str">
        <x:v>Ghi chú</x:v>
      </x:c>
      <x:c r="D3" s="54" t="str"/>
      <x:c r="E3" s="60"/>
    </x:row>
    <x:row r="4">
      <x:c r="A4" s="60" t="str">
        <x:v>Tổng giờ bản gốc</x:v>
      </x:c>
      <x:c r="B4" s="66" t="n">
        <x:v>536</x:v>
      </x:c>
      <x:c r="C4" s="60" t="str">
        <x:v>Theo file gốc.</x:v>
      </x:c>
      <x:c r="D4" s="60" t="str"/>
      <x:c r="E4" s="60"/>
    </x:row>
    <x:row r="5">
      <x:c r="A5" s="60" t="str">
        <x:v>Tổng giờ bản sửa</x:v>
      </x:c>
      <x:c r="B5" s="66" t="n">
        <x:f>SUM(LO_TRINH_SUA!I5:I28)</x:f>
        <x:v>512</x:v>
      </x:c>
      <x:c r="C5" s="60" t="str">
        <x:v>Giảm tải nhưng vẫn đủ thực chiến.</x:v>
      </x:c>
      <x:c r="D5" s="60" t="str"/>
      <x:c r="E5" s="60"/>
    </x:row>
    <x:row r="6">
      <x:c r="A6" s="60" t="str">
        <x:v>Giờ giảm</x:v>
      </x:c>
      <x:c r="B6" s="66" t="n">
        <x:f>B4-B5</x:f>
        <x:v>24</x:v>
      </x:c>
      <x:c r="C6" s="60" t="str">
        <x:v>Phần giảm chủ yếu là tool nâng cao/optional.</x:v>
      </x:c>
      <x:c r="D6" s="60" t="str"/>
      <x:c r="E6" s="60"/>
    </x:row>
    <x:row r="7">
      <x:c r="A7" s="60" t="str">
        <x:v>Trung bình giờ/tuần</x:v>
      </x:c>
      <x:c r="B7" s="66" t="n">
        <x:f>B5/24</x:f>
        <x:v>21.333333333333332</x:v>
      </x:c>
      <x:c r="C7" s="60" t="str">
        <x:v>Mục tiêu hợp lý hơn cho tự học.</x:v>
      </x:c>
      <x:c r="D7" s="60" t="str"/>
      <x:c r="E7" s="60"/>
    </x:row>
    <x:row r="8">
      <x:c r="A8" s="60" t="str">
        <x:v>Số tuần bắt buộc</x:v>
      </x:c>
      <x:c r="B8" s="66" t="n">
        <x:v>18</x:v>
      </x:c>
      <x:c r="C8" s="60" t="str">
        <x:v>Tăng từ 17 lên 18 vì T8: MinIO + Medallion được chuyển thành bắt buộc.</x:v>
      </x:c>
      <x:c r="D8" s="60" t="str"/>
      <x:c r="E8" s="60"/>
    </x:row>
    <x:row r="9">
      <x:c r="A9" s="60" t="str">
        <x:v>Số tuần optional</x:v>
      </x:c>
      <x:c r="B9" s="66" t="n">
        <x:f>COUNTIF(LO_TRINH_SUA!E5:E28,"Optional")</x:f>
        <x:v>2</x:v>
      </x:c>
      <x:c r="C9" s="60" t="str">
        <x:v>Có thể học lướt hoặc để sau.</x:v>
      </x:c>
      <x:c r="D9" s="60" t="str"/>
      <x:c r="E9" s="60"/>
    </x:row>
    <x:row r="10">
      <x:c r="A10" s="54" t="str">
        <x:v>Tháng</x:v>
      </x:c>
      <x:c r="B10" s="54" t="str">
        <x:v>Trọng tâm sửa lại</x:v>
      </x:c>
      <x:c r="C10" s="54" t="str">
        <x:v>Giờ</x:v>
      </x:c>
      <x:c r="D10" s="54" t="str">
        <x:v>Output lớn nhất</x:v>
      </x:c>
      <x:c r="E10" s="54" t="str">
        <x:v>Ghi chú</x:v>
      </x:c>
    </x:row>
    <x:row r="11">
      <x:c r="A11" s="60" t="str">
        <x:v>Tháng 1</x:v>
      </x:c>
      <x:c r="B11" s="60" t="str">
        <x:v>SQL, Python, Pandas, Git, terminal</x:v>
      </x:c>
      <x:c r="C11" s="70" t="n">
        <x:f>SUMIF(LO_TRINH_SUA!B:B,A11,LO_TRINH_SUA!I:I)</x:f>
        <x:v>84</x:v>
      </x:c>
      <x:c r="D11" s="60" t="str">
        <x:v>Mini project SQL/Python</x:v>
      </x:c>
      <x:c r="E11" s="60" t="str">
        <x:v>Học nền thật chắc.</x:v>
      </x:c>
    </x:row>
    <x:row r="12">
      <x:c r="A12" s="60" t="str">
        <x:v>Tháng 2</x:v>
      </x:c>
      <x:c r="B12" s="60" t="str">
        <x:v>Modeling, Star Schema, Docker, MinIO/Medallion Storage</x:v>
      </x:c>
      <x:c r="C12" s="70" t="n">
        <x:v>82</x:v>
      </x:c>
      <x:c r="D12" s="60" t="str">
        <x:v>Schema + Docker local stack + raw storage MinIO</x:v>
      </x:c>
      <x:c r="E12" s="60" t="str">
        <x:v>MinIO + Medallion bắt buộc; BigQuery chỉ overview.</x:v>
      </x:c>
    </x:row>
    <x:row r="13">
      <x:c r="A13" s="60" t="str">
        <x:v>Tháng 3</x:v>
      </x:c>
      <x:c r="B13" s="60" t="str">
        <x:v>ETL, Parquet, Airflow, dbt</x:v>
      </x:c>
      <x:c r="C13" s="70" t="n">
        <x:f>SUMIF(LO_TRINH_SUA!B:B,A13,LO_TRINH_SUA!I:I)</x:f>
        <x:v>88</x:v>
      </x:c>
      <x:c r="D13" s="60" t="str">
        <x:v>Pipeline có orchestration</x:v>
      </x:c>
      <x:c r="E13" s="60" t="str">
        <x:v>Giai đoạn quan trọng nhất sau nền tảng.</x:v>
      </x:c>
    </x:row>
    <x:row r="14">
      <x:c r="A14" s="60" t="str">
        <x:v>Tháng 4</x:v>
      </x:c>
      <x:c r="B14" s="60" t="str">
        <x:v>Cloud, Quality, BI, Kafka intro</x:v>
      </x:c>
      <x:c r="C14" s="70" t="n">
        <x:f>SUMIF(LO_TRINH_SUA!B:B,A14,LO_TRINH_SUA!I:I)</x:f>
        <x:v>80</x:v>
      </x:c>
      <x:c r="D14" s="60" t="str">
        <x:v>Dashboard + quality rules</x:v>
      </x:c>
      <x:c r="E14" s="60" t="str">
        <x:v>Kafka để optional.</x:v>
      </x:c>
    </x:row>
    <x:row r="15">
      <x:c r="A15" s="60" t="str">
        <x:v>Tháng 5</x:v>
      </x:c>
      <x:c r="B15" s="60" t="str">
        <x:v>Architecture, PySpark, Lakehouse overview, career</x:v>
      </x:c>
      <x:c r="C15" s="70" t="n">
        <x:f>SUMIF(LO_TRINH_SUA!B:B,A15,LO_TRINH_SUA!I:I)</x:f>
        <x:v>78</x:v>
      </x:c>
      <x:c r="D15" s="60" t="str">
        <x:v>Capstone proposal</x:v>
      </x:c>
      <x:c r="E15" s="60" t="str">
        <x:v>Chuẩn bị dự án cuối sớm.</x:v>
      </x:c>
    </x:row>
    <x:row r="16">
      <x:c r="A16" s="60" t="str">
        <x:v>Tháng 6</x:v>
      </x:c>
      <x:c r="B16" s="60" t="str">
        <x:v>Capstone end-to-end</x:v>
      </x:c>
      <x:c r="C16" s="70" t="n">
        <x:f>SUMIF(LO_TRINH_SUA!B:B,A16,LO_TRINH_SUA!I:I)</x:f>
        <x:v>100</x:v>
      </x:c>
      <x:c r="D16" s="60" t="str">
        <x:v>Portfolio project hoàn chỉnh</x:v>
      </x:c>
      <x:c r="E16" s="60" t="str">
        <x:v>Tập trung một project duy nhất.</x:v>
      </x:c>
    </x:row>
    <x:row r="17">
      <x:c r="A17" s="60"/>
      <x:c r="B17" s="60"/>
      <x:c r="C17" s="60"/>
      <x:c r="D17" s="60"/>
      <x:c r="E17" s="60"/>
    </x:row>
    <x:row r="18">
      <x:c r="A18" s="60"/>
      <x:c r="B18" s="60"/>
      <x:c r="C18" s="60"/>
      <x:c r="D18" s="60"/>
      <x:c r="E18" s="60"/>
    </x:row>
    <x:row r="19">
      <x:c r="A19" s="54" t="str">
        <x:v>Thay đổi chính</x:v>
      </x:c>
      <x:c r="B19" s="54" t="str">
        <x:v>Lý do</x:v>
      </x:c>
      <x:c r="C19" s="60"/>
      <x:c r="D19" s="60"/>
      <x:c r="E19" s="60"/>
    </x:row>
    <x:row r="20">
      <x:c r="A20" s="60" t="str">
        <x:v>Đưa Docker từ tháng 4 lên tuần 7</x:v>
      </x:c>
      <x:c r="B20" s="60" t="str">
        <x:v>Airflow, MinIO, Metabase, Kafka đều dễ học hơn khi đã biết Docker Compose.</x:v>
      </x:c>
      <x:c r="C20" s="60"/>
      <x:c r="D20" s="60"/>
      <x:c r="E20" s="60"/>
    </x:row>
    <x:row r="21">
      <x:c r="A21" s="60" t="str">
        <x:v>Giảm độ sâu Kafka/CDC</x:v>
      </x:c>
      <x:c r="B21" s="60" t="str">
        <x:v>Kafka production là chủ đề khó, chưa cần học sâu trong 6 tháng đầu.</x:v>
      </x:c>
      <x:c r="C21" s="60"/>
      <x:c r="D21" s="60"/>
      <x:c r="E21" s="60"/>
    </x:row>
    <x:row r="22">
      <x:c r="A22" s="60" t="str">
        <x:v>Đưa BI lên tháng 4</x:v>
      </x:c>
      <x:c r="B22" s="60" t="str">
        <x:v>Giúp thấy data pipeline tạo ra giá trị business, tránh chỉ build backend dữ liệu.</x:v>
      </x:c>
      <x:c r="C22" s="60"/>
      <x:c r="D22" s="60"/>
      <x:c r="E22" s="60"/>
    </x:row>
    <x:row r="23">
      <x:c r="A23" s="60" t="str">
        <x:v>Thêm Linux/terminal, logging, testing, .env</x:v>
      </x:c>
      <x:c r="B23" s="60" t="str">
        <x:v>Đây là kỹ năng DE thực tế mà lộ trình gốc còn thiếu.</x:v>
      </x:c>
      <x:c r="C23" s="60"/>
      <x:c r="D23" s="60"/>
      <x:c r="E23" s="60"/>
    </x:row>
    <x:row r="24">
      <x:c r="A24" s="60" t="str">
        <x:v>Capstone được chuẩn bị từ tuần 20</x:v>
      </x:c>
      <x:c r="B24" s="60" t="str">
        <x:v>Tránh đến tháng 6 mới bắt đầu nghĩ ý tưởng và kiến trúc.</x:v>
      </x:c>
      <x:c r="C24" s="60"/>
      <x:c r="D24" s="60"/>
      <x:c r="E24" s="60"/>
    </x:row>
    <x:row r="25">
      <x:c r="A25" s="60" t="str">
        <x:v>Iceberg/Delta/Dagster/Data Mesh chuyển optional/overview</x:v>
      </x:c>
      <x:c r="B25" s="60" t="str">
        <x:v>Giữ breadth nhưng không làm loãng phần core.</x:v>
      </x:c>
      <x:c r="C25" s="60"/>
      <x:c r="D25" s="60"/>
      <x:c r="E25" s="60"/>
    </x:row>
    <x:row r="26" ht="42" customHeight="1">
      <x:c r="A26" s="62" t="str">
        <x:v>Sửa T8: MinIO + Medallion thành Bắt buộc</x:v>
      </x:c>
      <x:c r="B26" s="62" t="str">
        <x:v>Vì T9 trở đi cần nơi lưu raw data cho pipeline; BigQuery overview vẫn giữ mức Quan trọng/đọc hiểu.</x:v>
      </x:c>
    </x:row>
  </x:sheetData>
  <x:mergeCells>
    <x:mergeCell ref="A1:E1"/>
  </x:mergeCells>
  <x:pageMargins left="0.7" right="0.7" top="0.75" bottom="0.75" header="0.3" footer="0.3"/>
  <x:drawing xmlns:r="http://schemas.openxmlformats.org/officeDocument/2006/relationships" r:id="R6e7e9f8ce08c41f3"/>
  <x:tableParts count="1">
    <x:tablePart xmlns:r="http://schemas.openxmlformats.org/officeDocument/2006/relationships" r:id="R3a88840073444a13"/>
  </x:tableParts>
</x:worksheet>
</file>

<file path=xl/worksheets/sheet4.xml><?xml version="1.0" encoding="utf-8"?>
<x:worksheet xmlns:x="http://schemas.openxmlformats.org/spreadsheetml/2006/main">
  <x:sheetFormatPr defaultRowHeight="15"/>
  <x:cols>
    <x:col min="1" max="1" width="8" hidden="0" customWidth="1"/>
    <x:col min="2" max="2" width="12" hidden="0" customWidth="1"/>
    <x:col min="3" max="3" width="16" hidden="0" customWidth="1"/>
    <x:col min="4" max="4" width="24" hidden="0" customWidth="1"/>
    <x:col min="5" max="5" width="13" hidden="0" customWidth="1"/>
    <x:col min="6" max="6" width="38" hidden="0" customWidth="1"/>
    <x:col min="7" max="7" width="38" hidden="0" customWidth="1"/>
    <x:col min="8" max="8" width="38" hidden="0" customWidth="1"/>
    <x:col min="9" max="9" width="8" hidden="0" customWidth="1"/>
    <x:col min="10" max="10" width="36" hidden="0" customWidth="1"/>
    <x:col min="11" max="11" width="36" hidden="0" customWidth="1"/>
  </x:cols>
  <x:sheetData>
    <x:row r="1" ht="16.799999237060547" hidden="0" customHeight="1">
      <x:c r="A1" s="37" t="str">
        <x:v>LỘ TRÌNH DATA ENGINEERING 6 THÁNG — BẢN ĐÃ SỬA THEO HƯỚNG THỰC CHIẾN</x:v>
      </x:c>
      <x:c r="B1" s="37"/>
      <x:c r="C1" s="37"/>
      <x:c r="D1" s="37"/>
      <x:c r="E1" s="37"/>
      <x:c r="F1" s="37"/>
      <x:c r="G1" s="37"/>
      <x:c r="H1" s="37"/>
      <x:c r="I1" s="37"/>
      <x:c r="J1" s="37"/>
      <x:c r="K1" s="37"/>
    </x:row>
    <x:row r="2" ht="237.60000610351562" hidden="0" customHeight="1">
      <x:c r="A2" s="45" t="str">
        <x:v>Nguyên tắc sửa: giảm tải tool nâng cao, đưa Docker lên sớm, học sâu SQL/Python/Modeling/ETL/Airflow/dbt, capstone được chuẩn bị từ tháng 5.</x:v>
      </x:c>
      <x:c r="B2" s="45"/>
      <x:c r="C2" s="45"/>
      <x:c r="D2" s="45"/>
      <x:c r="E2" s="45"/>
      <x:c r="F2" s="45"/>
      <x:c r="G2" s="45"/>
      <x:c r="H2" s="45"/>
      <x:c r="I2" s="45"/>
      <x:c r="J2" s="45"/>
      <x:c r="K2" s="45"/>
    </x:row>
    <x:row r="3"/>
    <x:row r="4" ht="15" hidden="0" customHeight="1">
      <x:c r="A4" s="54" t="str">
        <x:v>Tuần</x:v>
      </x:c>
      <x:c r="B4" s="54" t="str">
        <x:v>Tháng</x:v>
      </x:c>
      <x:c r="C4" s="54" t="str">
        <x:v>Giai đoạn</x:v>
      </x:c>
      <x:c r="D4" s="54" t="str">
        <x:v>Trọng tâm đã sửa</x:v>
      </x:c>
      <x:c r="E4" s="54" t="str">
        <x:v>Mức ưu tiên</x:v>
      </x:c>
      <x:c r="F4" s="54" t="str">
        <x:v>Lý thuyết cần nắm</x:v>
      </x:c>
      <x:c r="G4" s="54" t="str">
        <x:v>Thực hành chính</x:v>
      </x:c>
      <x:c r="H4" s="54" t="str">
        <x:v>Output bắt buộc</x:v>
      </x:c>
      <x:c r="I4" s="54" t="str">
        <x:v>Giờ</x:v>
      </x:c>
      <x:c r="J4" s="54" t="str">
        <x:v>Lý do sửa</x:v>
      </x:c>
      <x:c r="K4" s="54" t="str">
        <x:v>Tiêu chí hoàn thành</x:v>
      </x:c>
    </x:row>
    <x:row r="5" ht="39.599998474121094" hidden="0" customHeight="1">
      <x:c r="A5" s="62" t="str">
        <x:v>T1</x:v>
      </x:c>
      <x:c r="B5" s="62" t="str">
        <x:v>Tháng 1</x:v>
      </x:c>
      <x:c r="C5" s="62" t="str">
        <x:v>Foundation</x:v>
      </x:c>
      <x:c r="D5" s="62" t="str">
        <x:v>Setup môi trường + SQL cơ bản + Git</x:v>
      </x:c>
      <x:c r="E5" s="62" t="str">
        <x:v>Bắt buộc</x:v>
      </x:c>
      <x:c r="F5" s="62" t="str">
        <x:v>PostgreSQL local; SELECT/WHERE/JOIN/GROUP BY/HAVING; Git add/commit/push; terminal cơ bản.</x:v>
      </x:c>
      <x:c r="G5" s="62" t="str">
        <x:v>Cài PostgreSQL, import dvdrental/sakila; giải 25 bài SQL easy-medium; tạo repo học DE.</x:v>
      </x:c>
      <x:c r="H5" s="62" t="str">
        <x:v>Repo GitHub + file sql_basics.sql + README setup.</x:v>
      </x:c>
      <x:c r="I5" s="62" t="n">
        <x:v>20</x:v>
      </x:c>
      <x:c r="J5" s="62" t="str">
        <x:v>Giữ SQL làm nền nhưng thêm Git/terminal ngay từ đầu.</x:v>
      </x:c>
      <x:c r="K5" s="62" t="str">
        <x:v>Tự viết JOIN 3 bảng; push code lên GitHub; giải thích được GROUP BY vs HAVING.</x:v>
      </x:c>
    </x:row>
    <x:row r="6" ht="39.599998474121094" hidden="0" customHeight="1">
      <x:c r="A6" s="62" t="str">
        <x:v>T2</x:v>
      </x:c>
      <x:c r="B6" s="62" t="str">
        <x:v>Tháng 1</x:v>
      </x:c>
      <x:c r="C6" s="62" t="str">
        <x:v>Foundation</x:v>
      </x:c>
      <x:c r="D6" s="62" t="str">
        <x:v>SQL nâng cao + CTE + Window Function + Index</x:v>
      </x:c>
      <x:c r="E6" s="62" t="str">
        <x:v>Bắt buộc</x:v>
      </x:c>
      <x:c r="F6" s="62" t="str">
        <x:v>CTE; subquery; ROW_NUMBER/RANK/LAG/LEAD; EXPLAIN; index cơ bản; full table scan.</x:v>
      </x:c>
      <x:c r="G6" s="62" t="str">
        <x:v>Giải 15 bài SQL medium; viết query ranking/running total; so sánh query có index và không có index.</x:v>
      </x:c>
      <x:c r="H6" s="62" t="str">
        <x:v>sql_advanced.sql + note Window Function + screenshot EXPLAIN.</x:v>
      </x:c>
      <x:c r="I6" s="62" t="n">
        <x:v>22</x:v>
      </x:c>
      <x:c r="J6" s="62" t="str">
        <x:v>Phần này phải học sâu vì DE dùng SQL hằng ngày.</x:v>
      </x:c>
      <x:c r="K6" s="62" t="str">
        <x:v>Viết được CTE rõ ràng; dùng window function đúng; đọc được EXPLAIN ở mức cơ bản.</x:v>
      </x:c>
    </x:row>
    <x:row r="7" ht="26.399999618530273" hidden="0" customHeight="1">
      <x:c r="A7" s="62" t="str">
        <x:v>T3</x:v>
      </x:c>
      <x:c r="B7" s="62" t="str">
        <x:v>Tháng 1</x:v>
      </x:c>
      <x:c r="C7" s="62" t="str">
        <x:v>Foundation</x:v>
      </x:c>
      <x:c r="D7" s="62" t="str">
        <x:v>Python cho ETL + Linux/Terminal cơ bản</x:v>
      </x:c>
      <x:c r="E7" s="62" t="str">
        <x:v>Bắt buộc</x:v>
      </x:c>
      <x:c r="F7" s="62" t="str">
        <x:v>List/dict/function; exception handling; pathlib; requests; logging; .env; curl/grep/head/tail.</x:v>
      </x:c>
      <x:c r="G7" s="62" t="str">
        <x:v>Script gọi API public, lưu JSON/CSV; script đọc file và validate dữ liệu đầu vào.</x:v>
      </x:c>
      <x:c r="H7" s="62" t="str">
        <x:v>python_api_extract.py + python_file_validate.py + README.</x:v>
      </x:c>
      <x:c r="I7" s="62" t="n">
        <x:v>20</x:v>
      </x:c>
      <x:c r="J7" s="62" t="str">
        <x:v>Bổ sung terminal và logging vì bản gốc thiếu kỹ năng thực chiến.</x:v>
      </x:c>
      <x:c r="K7" s="62" t="str">
        <x:v>Chạy script bằng command line; log lỗi rõ; không hardcode secret.</x:v>
      </x:c>
    </x:row>
    <x:row r="8" ht="26.399999618530273" hidden="0" customHeight="1">
      <x:c r="A8" s="62" t="str">
        <x:v>T4</x:v>
      </x:c>
      <x:c r="B8" s="62" t="str">
        <x:v>Tháng 1</x:v>
      </x:c>
      <x:c r="C8" s="62" t="str">
        <x:v>Foundation</x:v>
      </x:c>
      <x:c r="D8" s="62" t="str">
        <x:v>Pandas + clean code + mini portfolio</x:v>
      </x:c>
      <x:c r="E8" s="62" t="str">
        <x:v>Bắt buộc</x:v>
      </x:c>
      <x:c r="F8" s="62" t="str">
        <x:v>DataFrame; merge/groupby/pivot; missing values; type hints; requirements.txt; cấu trúc project.</x:v>
      </x:c>
      <x:c r="G8" s="62" t="str">
        <x:v>Clean dataset e-commerce; tạo report doanh thu theo ngày/sản phẩm; viết unit test đơn giản.</x:v>
      </x:c>
      <x:c r="H8" s="62" t="str">
        <x:v>mini_project_month1/ gồm src, data, README, requirements.txt.</x:v>
      </x:c>
      <x:c r="I8" s="62" t="n">
        <x:v>22</x:v>
      </x:c>
      <x:c r="J8" s="62" t="str">
        <x:v>Giảm 24h xuống 22h và thêm clean code để tránh script rời rạc.</x:v>
      </x:c>
      <x:c r="K8" s="62" t="str">
        <x:v>Chạy được project từ README; output đúng; code có hàm rõ ràng.</x:v>
      </x:c>
    </x:row>
    <x:row r="9" ht="26.399999618530273" hidden="0" customHeight="1">
      <x:c r="A9" s="62" t="str">
        <x:v>T5</x:v>
      </x:c>
      <x:c r="B9" s="62" t="str">
        <x:v>Tháng 2</x:v>
      </x:c>
      <x:c r="C9" s="62" t="str">
        <x:v>Modeling</x:v>
      </x:c>
      <x:c r="D9" s="62" t="str">
        <x:v>Relational Data Modeling + PostgreSQL schema</x:v>
      </x:c>
      <x:c r="E9" s="62" t="str">
        <x:v>Bắt buộc</x:v>
      </x:c>
      <x:c r="F9" s="62" t="str">
        <x:v>ERD; normalization 1NF-3NF; PK/FK; cardinality; constraint; transaction; UPSERT.</x:v>
      </x:c>
      <x:c r="G9" s="62" t="str">
        <x:v>Vẽ ERD e-commerce; tạo bảng PostgreSQL; insert sample data; viết UPSERT chống duplicate.</x:v>
      </x:c>
      <x:c r="H9" s="62" t="str">
        <x:v>erd_ecommerce.drawio + schema.sql + seed.sql.</x:v>
      </x:c>
      <x:c r="I9" s="62" t="n">
        <x:v>20</x:v>
      </x:c>
      <x:c r="J9" s="62" t="str">
        <x:v>Giữ modeling nhưng thêm transaction/UPSERT vì pipeline chạy lại rất hay trùng dữ liệu.</x:v>
      </x:c>
      <x:c r="K9" s="62" t="str">
        <x:v>Thiết kế đúng quan hệ 1-N/N-N; có constraint; chạy lại seed không duplicate.</x:v>
      </x:c>
    </x:row>
    <x:row r="10" ht="26.399999618530273" hidden="0" customHeight="1">
      <x:c r="A10" s="62" t="str">
        <x:v>T6</x:v>
      </x:c>
      <x:c r="B10" s="62" t="str">
        <x:v>Tháng 2</x:v>
      </x:c>
      <x:c r="C10" s="62" t="str">
        <x:v>Modeling</x:v>
      </x:c>
      <x:c r="D10" s="62" t="str">
        <x:v>Dimensional Modeling: Star Schema + SCD Type 2</x:v>
      </x:c>
      <x:c r="E10" s="62" t="str">
        <x:v>Bắt buộc</x:v>
      </x:c>
      <x:c r="F10" s="62" t="str">
        <x:v>Fact/dimension; grain; star schema; dim_date; SCD Type 1/2; surrogate key.</x:v>
      </x:c>
      <x:c r="G10" s="62" t="str">
        <x:v>Thiết kế fact_sales + dim_customer/product/date; implement SCD Type 2 cho customer.</x:v>
      </x:c>
      <x:c r="H10" s="62" t="str">
        <x:v>star_schema.sql + scd_type2_demo.sql + design doc.</x:v>
      </x:c>
      <x:c r="I10" s="62" t="n">
        <x:v>22</x:v>
      </x:c>
      <x:c r="J10" s="62" t="str">
        <x:v>Đây là lõi của analytical database nên cần học sâu.</x:v>
      </x:c>
      <x:c r="K10" s="62" t="str">
        <x:v>Nói rõ grain của fact table; query doanh thu theo dimension; SCD2 chạy đúng.</x:v>
      </x:c>
    </x:row>
    <x:row r="11" ht="26.399999618530273" hidden="0" customHeight="1">
      <x:c r="A11" s="62" t="str">
        <x:v>T7</x:v>
      </x:c>
      <x:c r="B11" s="62" t="str">
        <x:v>Tháng 2</x:v>
      </x:c>
      <x:c r="C11" s="62" t="str">
        <x:v>Infrastructure</x:v>
      </x:c>
      <x:c r="D11" s="62" t="str">
        <x:v>Docker cơ bản + Docker Compose local stack</x:v>
      </x:c>
      <x:c r="E11" s="62" t="str">
        <x:v>Bắt buộc</x:v>
      </x:c>
      <x:c r="F11" s="62" t="str">
        <x:v>Image/container; volume; port mapping; env; Dockerfile; docker-compose.yml.</x:v>
      </x:c>
      <x:c r="G11" s="62" t="str">
        <x:v>Dockerize Python ETL; compose PostgreSQL + Python app; dùng volume để giữ data.</x:v>
      </x:c>
      <x:c r="H11" s="62" t="str">
        <x:v>Dockerfile + docker-compose.yml + .env.example.</x:v>
      </x:c>
      <x:c r="I11" s="62" t="n">
        <x:v>18</x:v>
      </x:c>
      <x:c r="J11" s="62" t="str">
        <x:v>Đẩy Docker lên trước Airflow/MinIO để học các tool sau không bị vướng cài đặt.</x:v>
      </x:c>
      <x:c r="K11" s="62" t="str">
        <x:v>Một lệnh docker compose up chạy được stack local.</x:v>
      </x:c>
    </x:row>
    <x:row r="12" ht="82" hidden="0" customHeight="1">
      <x:c r="A12" s="62" t="str">
        <x:v>T8</x:v>
      </x:c>
      <x:c r="B12" s="62" t="str">
        <x:v>Tháng 2</x:v>
      </x:c>
      <x:c r="C12" s="62" t="str">
        <x:v>Storage</x:v>
      </x:c>
      <x:c r="D12" s="62" t="str">
        <x:v>Data Lake local: MinIO + Medallion bắt buộc; BigQuery overview</x:v>
      </x:c>
      <x:c r="E12" s="78" t="str">
        <x:v>Bắt buộc</x:v>
      </x:c>
      <x:c r="F12" s="62" t="str">
        <x:v>OLTP vs OLAP; data warehouse; data lake; object storage; Medallion Architecture (bronze/silver/gold) là bắt buộc; BigQuery chỉ overview.</x:v>
      </x:c>
      <x:c r="G12" s="62" t="str">
        <x:v>Cài MinIO bằng Docker; tạo bucket/path raw/bronze/silver/gold; upload raw CSV/JSON; tổ chức nơi lưu raw data cho pipeline T9; xem BigQuery public dataset ở mức đọc hiểu.</x:v>
      </x:c>
      <x:c r="H12" s="62" t="str">
        <x:v>storage_layout.md + minio_demo/ + medallion_raw_storage/ + lake_vs_warehouse_note.md.</x:v>
      </x:c>
      <x:c r="I12" s="62" t="n">
        <x:v>22</x:v>
      </x:c>
      <x:c r="J12" s="62" t="str">
        <x:v>Sửa theo nhận xét: MinIO + Medallion là nền storage cho pipeline từ T9 trở đi, nên không thể để optional; BigQuery chỉ học overview.</x:v>
      </x:c>
      <x:c r="K12" s="62" t="str">
        <x:v>Có MinIO chạy local; raw data nằm trong bucket/path rõ ràng; vẽ được source → raw/bronze → silver → gold → mart; BigQuery chỉ cần nắm khái niệm.</x:v>
      </x:c>
    </x:row>
    <x:row r="13" ht="39.599998474121094" hidden="0" customHeight="1">
      <x:c r="A13" s="62" t="str">
        <x:v>T9</x:v>
      </x:c>
      <x:c r="B13" s="62" t="str">
        <x:v>Tháng 3</x:v>
      </x:c>
      <x:c r="C13" s="62" t="str">
        <x:v>Pipeline</x:v>
      </x:c>
      <x:c r="D13" s="62" t="str">
        <x:v>Batch ETL bằng Python + Idempotency + Backfill</x:v>
      </x:c>
      <x:c r="E13" s="62" t="str">
        <x:v>Bắt buộc</x:v>
      </x:c>
      <x:c r="F13" s="62" t="str">
        <x:v>ETL vs ELT; batch processing; retry; logging; idempotency; backfill; incremental load.</x:v>
      </x:c>
      <x:c r="G13" s="62" t="str">
        <x:v>API/CSV → transform → PostgreSQL; dùng UPSERT; chạy lại 3 lần không trùng; backfill theo date range.</x:v>
      </x:c>
      <x:c r="H13" s="62" t="str">
        <x:v>etl_pipeline/ + logs/ + README idempotency.</x:v>
      </x:c>
      <x:c r="I13" s="62" t="n">
        <x:v>22</x:v>
      </x:c>
      <x:c r="J13" s="62" t="str">
        <x:v>Giữ nội dung bản gốc nhưng yêu cầu output rõ hơn.</x:v>
      </x:c>
      <x:c r="K13" s="62" t="str">
        <x:v>Pipeline chạy lại không duplicate; có log; backfill được khoảng ngày cụ thể.</x:v>
      </x:c>
    </x:row>
    <x:row r="14" ht="26.399999618530273" hidden="0" customHeight="1">
      <x:c r="A14" s="62" t="str">
        <x:v>T10</x:v>
      </x:c>
      <x:c r="B14" s="62" t="str">
        <x:v>Tháng 3</x:v>
      </x:c>
      <x:c r="C14" s="62" t="str">
        <x:v>Pipeline</x:v>
      </x:c>
      <x:c r="D14" s="62" t="str">
        <x:v>File formats: CSV/JSON/Parquet + data lake layout</x:v>
      </x:c>
      <x:c r="E14" s="62" t="str">
        <x:v>Quan trọng</x:v>
      </x:c>
      <x:c r="F14" s="62" t="str">
        <x:v>Parquet columnar; compression; partitioning theo date; schema cơ bản; CSV/JSON trade-off.</x:v>
      </x:c>
      <x:c r="G14" s="62" t="str">
        <x:v>Convert CSV sang Parquet; benchmark size/time; lưu theo path year/month/day.</x:v>
      </x:c>
      <x:c r="H14" s="62" t="str">
        <x:v>format_benchmark.ipynb hoặc .py + báo cáo so sánh.</x:v>
      </x:c>
      <x:c r="I14" s="62" t="n">
        <x:v>18</x:v>
      </x:c>
      <x:c r="J14" s="62" t="str">
        <x:v>Giảm Avro/Arrow xuống overview để không quá tải.</x:v>
      </x:c>
      <x:c r="K14" s="62" t="str">
        <x:v>Giải thích được vì sao analytics hay dùng Parquet; demo đọc/ghi Parquet.</x:v>
      </x:c>
    </x:row>
    <x:row r="15" ht="26.399999618530273" hidden="0" customHeight="1">
      <x:c r="A15" s="62" t="str">
        <x:v>T11</x:v>
      </x:c>
      <x:c r="B15" s="62" t="str">
        <x:v>Tháng 3</x:v>
      </x:c>
      <x:c r="C15" s="62" t="str">
        <x:v>Orchestration</x:v>
      </x:c>
      <x:c r="D15" s="62" t="str">
        <x:v>Airflow bằng Docker Compose</x:v>
      </x:c>
      <x:c r="E15" s="62" t="str">
        <x:v>Bắt buộc</x:v>
      </x:c>
      <x:c r="F15" s="62" t="str">
        <x:v>DAG; task dependency; scheduler; operator; retry; catchup/backfill; Airflow UI.</x:v>
      </x:c>
      <x:c r="G15" s="62" t="str">
        <x:v>Đưa pipeline T9 vào Airflow DAG; schedule daily; test retry và backfill.</x:v>
      </x:c>
      <x:c r="H15" s="62" t="str">
        <x:v>airflow/dags/etl_daily.py + screenshot DAG success.</x:v>
      </x:c>
      <x:c r="I15" s="62" t="n">
        <x:v>24</x:v>
      </x:c>
      <x:c r="J15" s="62" t="str">
        <x:v>Sau khi đã học Docker ở T7, Airflow sẽ dễ triển khai hơn.</x:v>
      </x:c>
      <x:c r="K15" s="62" t="str">
        <x:v>DAG chạy xanh; task rõ tên; backfill được; lỗi có log để debug.</x:v>
      </x:c>
    </x:row>
    <x:row r="16" ht="39.599998474121094" hidden="0" customHeight="1">
      <x:c r="A16" s="62" t="str">
        <x:v>T12</x:v>
      </x:c>
      <x:c r="B16" s="62" t="str">
        <x:v>Tháng 3</x:v>
      </x:c>
      <x:c r="C16" s="62" t="str">
        <x:v>Transform</x:v>
      </x:c>
      <x:c r="D16" s="62" t="str">
        <x:v>dbt core + staging/intermediate/mart + tests/docs</x:v>
      </x:c>
      <x:c r="E16" s="62" t="str">
        <x:v>Bắt buộc</x:v>
      </x:c>
      <x:c r="F16" s="62" t="str">
        <x:v>dbt model; source; ref; materialization; incremental; tests; docs; lineage graph.</x:v>
      </x:c>
      <x:c r="G16" s="62" t="str">
        <x:v>raw → staging → intermediate → mart; 5+ models; unique/not_null/custom tests; generate docs.</x:v>
      </x:c>
      <x:c r="H16" s="62" t="str">
        <x:v>dbt_project/ + docs generated + mart tables.</x:v>
      </x:c>
      <x:c r="I16" s="62" t="n">
        <x:v>24</x:v>
      </x:c>
      <x:c r="J16" s="62" t="str">
        <x:v>Giữ nguyên vì dbt là kỹ năng rất đáng có cho DE/Analytics Engineering.</x:v>
      </x:c>
      <x:c r="K16" s="62" t="str">
        <x:v>dbt run/test pass; lineage rõ; mart phục vụ được dashboard.</x:v>
      </x:c>
    </x:row>
    <x:row r="17" ht="26.399999618530273" hidden="0" customHeight="1">
      <x:c r="A17" s="62" t="str">
        <x:v>T13</x:v>
      </x:c>
      <x:c r="B17" s="62" t="str">
        <x:v>Tháng 4</x:v>
      </x:c>
      <x:c r="C17" s="62" t="str">
        <x:v>Cloud</x:v>
      </x:c>
      <x:c r="D17" s="62" t="str">
        <x:v>Cloud cơ bản: GCS/BigQuery/IAM/chi phí</x:v>
      </x:c>
      <x:c r="E17" s="62" t="str">
        <x:v>Quan trọng</x:v>
      </x:c>
      <x:c r="F17" s="62" t="str">
        <x:v>Cloud project; bucket; service account; IAM; BigQuery external table; cost awareness.</x:v>
      </x:c>
      <x:c r="G17" s="62" t="str">
        <x:v>Upload Parquet lên GCS; tạo external table BigQuery; chạy query; ghi chú chi phí/rủi ro.</x:v>
      </x:c>
      <x:c r="H17" s="62" t="str">
        <x:v>cloud_quickstart.md + query_bigquery.sql.</x:v>
      </x:c>
      <x:c r="I17" s="62" t="n">
        <x:v>20</x:v>
      </x:c>
      <x:c r="J17" s="62" t="str">
        <x:v>Cloud để sau khi đã có local stack, tránh copy tutorial mà không hiểu bản chất.</x:v>
      </x:c>
      <x:c r="K17" s="62" t="str">
        <x:v>Dùng service account đúng; query BigQuery được; biết tránh tốn phí.</x:v>
      </x:c>
    </x:row>
    <x:row r="18" ht="39.599998474121094" hidden="0" customHeight="1">
      <x:c r="A18" s="62" t="str">
        <x:v>T14</x:v>
      </x:c>
      <x:c r="B18" s="62" t="str">
        <x:v>Tháng 4</x:v>
      </x:c>
      <x:c r="C18" s="62" t="str">
        <x:v>Quality</x:v>
      </x:c>
      <x:c r="D18" s="62" t="str">
        <x:v>Data Quality + Governance thực dụng</x:v>
      </x:c>
      <x:c r="E18" s="62" t="str">
        <x:v>Bắt buộc</x:v>
      </x:c>
      <x:c r="F18" s="62" t="str">
        <x:v>Completeness/accuracy/freshness; schema validation; data contract; lineage; dbt tests/Great Expectations overview.</x:v>
      </x:c>
      <x:c r="G18" s="62" t="str">
        <x:v>Viết 10 data quality rules; tạo data_contract.yml; vẽ lineage pipeline.</x:v>
      </x:c>
      <x:c r="H18" s="62" t="str">
        <x:v>data_quality_tests/ + data_contract.yml + lineage.png.</x:v>
      </x:c>
      <x:c r="I18" s="62" t="n">
        <x:v>22</x:v>
      </x:c>
      <x:c r="J18" s="62" t="str">
        <x:v>Chuyển governance từ lý thuyết lớn sang checklist thực dụng.</x:v>
      </x:c>
      <x:c r="K18" s="62" t="str">
        <x:v>Test fail khi data sai; có rule rõ; lineage nhìn hiểu được.</x:v>
      </x:c>
    </x:row>
    <x:row r="19" ht="39.599998474121094" hidden="0" customHeight="1">
      <x:c r="A19" s="62" t="str">
        <x:v>T15</x:v>
      </x:c>
      <x:c r="B19" s="62" t="str">
        <x:v>Tháng 4</x:v>
      </x:c>
      <x:c r="C19" s="62" t="str">
        <x:v>Serving</x:v>
      </x:c>
      <x:c r="D19" s="62" t="str">
        <x:v>BI với Metabase + Metrics Definition</x:v>
      </x:c>
      <x:c r="E19" s="62" t="str">
        <x:v>Bắt buộc</x:v>
      </x:c>
      <x:c r="F19" s="62" t="str">
        <x:v>BI tool; dashboard; metric definition; semantic layer ở mức concept; stakeholder question.</x:v>
      </x:c>
      <x:c r="G19" s="62" t="str">
        <x:v>Cài Metabase; kết nối PostgreSQL mart; dashboard revenue/orders/customers; định nghĩa 5 metrics.</x:v>
      </x:c>
      <x:c r="H19" s="62" t="str">
        <x:v>metabase_dashboard screenshots + metrics_definition.md.</x:v>
      </x:c>
      <x:c r="I19" s="62" t="n">
        <x:v>20</x:v>
      </x:c>
      <x:c r="J19" s="62" t="str">
        <x:v>Đưa BI lên sớm để thấy pipeline tạo giá trị cuối cùng.</x:v>
      </x:c>
      <x:c r="K19" s="62" t="str">
        <x:v>Dashboard trả lời được câu hỏi business; metric định nghĩa nhất quán.</x:v>
      </x:c>
    </x:row>
    <x:row r="20" ht="39.599998474121094" hidden="0" customHeight="1">
      <x:c r="A20" s="62" t="str">
        <x:v>T16</x:v>
      </x:c>
      <x:c r="B20" s="62" t="str">
        <x:v>Tháng 4</x:v>
      </x:c>
      <x:c r="C20" s="62" t="str">
        <x:v>Streaming</x:v>
      </x:c>
      <x:c r="D20" s="62" t="str">
        <x:v>Kafka/CDC intro, không học production sâu</x:v>
      </x:c>
      <x:c r="E20" s="62" t="str">
        <x:v>Optional</x:v>
      </x:c>
      <x:c r="F20" s="62" t="str">
        <x:v>Batch vs stream; Kafka topic/producer/consumer; CDC concept; consumer group overview.</x:v>
      </x:c>
      <x:c r="G20" s="62" t="str">
        <x:v>Docker Compose Kafka; Python producer/consumer; simulate DB change → message → target table.</x:v>
      </x:c>
      <x:c r="H20" s="62" t="str">
        <x:v>kafka_intro_demo/ + note batch_vs_stream.md.</x:v>
      </x:c>
      <x:c r="I20" s="62" t="n">
        <x:v>18</x:v>
      </x:c>
      <x:c r="J20" s="62" t="str">
        <x:v>Kafka khó và chưa cần quá sâu cho 6 tháng đầu, để ở mức optional/lab.</x:v>
      </x:c>
      <x:c r="K20" s="62" t="str">
        <x:v>Produce/consume message thành công; hiểu use case, chưa cần tối ưu production.</x:v>
      </x:c>
    </x:row>
    <x:row r="21" ht="39.599998474121094" hidden="0" customHeight="1">
      <x:c r="A21" s="62" t="str">
        <x:v>T17</x:v>
      </x:c>
      <x:c r="B21" s="62" t="str">
        <x:v>Tháng 5</x:v>
      </x:c>
      <x:c r="C21" s="62" t="str">
        <x:v>Architecture</x:v>
      </x:c>
      <x:c r="D21" s="62" t="str">
        <x:v>Data Architecture + Modern/Open Data Stack</x:v>
      </x:c>
      <x:c r="E21" s="62" t="str">
        <x:v>Quan trọng</x:v>
      </x:c>
      <x:c r="F21" s="62" t="str">
        <x:v>Architecture layers; modern data stack; open-source alternatives; Airflow vs Dagster overview; ADR.</x:v>
      </x:c>
      <x:c r="G21" s="62" t="str">
        <x:v>Vẽ 2 kiến trúc: local open-source và cloud version; viết 2 ADR chọn tool.</x:v>
      </x:c>
      <x:c r="H21" s="62" t="str">
        <x:v>architecture_diagrams/ + adr_001.md + adr_002.md.</x:v>
      </x:c>
      <x:c r="I21" s="62" t="n">
        <x:v>20</x:v>
      </x:c>
      <x:c r="J21" s="62" t="str">
        <x:v>Giữ phần architecture nhưng bỏ yêu cầu cài Dagster sâu.</x:v>
      </x:c>
      <x:c r="K21" s="62" t="str">
        <x:v>Giải thích được vì sao chọn PostgreSQL/MinIO/Airflow/dbt/Metabase.</x:v>
      </x:c>
    </x:row>
    <x:row r="22" ht="26.399999618530273" hidden="0" customHeight="1">
      <x:c r="A22" s="62" t="str">
        <x:v>T18</x:v>
      </x:c>
      <x:c r="B22" s="62" t="str">
        <x:v>Tháng 5</x:v>
      </x:c>
      <x:c r="C22" s="62" t="str">
        <x:v>Scale</x:v>
      </x:c>
      <x:c r="D22" s="62" t="str">
        <x:v>PySpark intro + khi nào cần distributed processing</x:v>
      </x:c>
      <x:c r="E22" s="62" t="str">
        <x:v>Quan trọng</x:v>
      </x:c>
      <x:c r="F22" s="62" t="str">
        <x:v>Spark DataFrame; partition; lazy evaluation; shuffle; Pandas vs Spark; local mode.</x:v>
      </x:c>
      <x:c r="G22" s="62" t="str">
        <x:v>Chạy PySpark transform dataset lớn; so sánh với Pandas; ghi chú khi nào Spark cần thiết.</x:v>
      </x:c>
      <x:c r="H22" s="62" t="str">
        <x:v>pyspark_intro/ + pandas_vs_spark_report.md.</x:v>
      </x:c>
      <x:c r="I22" s="62" t="n">
        <x:v>22</x:v>
      </x:c>
      <x:c r="J22" s="62" t="str">
        <x:v>Spark nên học đủ để hiểu scale, chưa cần tối ưu cluster.</x:v>
      </x:c>
      <x:c r="K22" s="62" t="str">
        <x:v>Chạy được job; giải thích được lazy evaluation và shuffle ở mức cơ bản.</x:v>
      </x:c>
    </x:row>
    <x:row r="23" ht="26.399999618530273" hidden="0" customHeight="1">
      <x:c r="A23" s="62" t="str">
        <x:v>T19</x:v>
      </x:c>
      <x:c r="B23" s="62" t="str">
        <x:v>Tháng 5</x:v>
      </x:c>
      <x:c r="C23" s="62" t="str">
        <x:v>Lakehouse</x:v>
      </x:c>
      <x:c r="D23" s="62" t="str">
        <x:v>Iceberg/Delta Lake overview + mini lab nếu còn thời gian</x:v>
      </x:c>
      <x:c r="E23" s="62" t="str">
        <x:v>Optional</x:v>
      </x:c>
      <x:c r="F23" s="62" t="str">
        <x:v>Table format; ACID trên data lake; time travel; schema evolution; Iceberg vs Delta.</x:v>
      </x:c>
      <x:c r="G23" s="62" t="str">
        <x:v>Đọc concept; nếu đủ thời gian làm 1 lab local tạo table và query version cũ.</x:v>
      </x:c>
      <x:c r="H23" s="62" t="str">
        <x:v>table_format_note.md + optional_lab/.</x:v>
      </x:c>
      <x:c r="I23" s="62" t="n">
        <x:v>16</x:v>
      </x:c>
      <x:c r="J23" s="62" t="str">
        <x:v>Giảm tải vì Iceberg/Delta là chủ đề nâng cao, không nên chiếm quá nhiều giờ.</x:v>
      </x:c>
      <x:c r="K23" s="62" t="str">
        <x:v>Nói được table format giải quyết vấn đề gì; lab optional không bắt buộc.</x:v>
      </x:c>
    </x:row>
    <x:row r="24" ht="39.599998474121094" hidden="0" customHeight="1">
      <x:c r="A24" s="62" t="str">
        <x:v>T20</x:v>
      </x:c>
      <x:c r="B24" s="62" t="str">
        <x:v>Tháng 5</x:v>
      </x:c>
      <x:c r="C24" s="62" t="str">
        <x:v>Career + Capstone Prep</x:v>
      </x:c>
      <x:c r="D24" s="62" t="str">
        <x:v>Career prep + chốt proposal capstone</x:v>
      </x:c>
      <x:c r="E24" s="62" t="str">
        <x:v>Bắt buộc</x:v>
      </x:c>
      <x:c r="F24" s="62" t="str">
        <x:v>DE lifecycle; DE vs SE; resume project bullet; interview SQL/system design; chọn domain capstone.</x:v>
      </x:c>
      <x:c r="G24" s="62" t="str">
        <x:v>Viết proposal capstone; draft CV bullet; mock 10 câu SQL; chốt dataset/source.</x:v>
      </x:c>
      <x:c r="H24" s="62" t="str">
        <x:v>capstone_proposal.md + resume_bullets.md.</x:v>
      </x:c>
      <x:c r="I24" s="62" t="n">
        <x:v>20</x:v>
      </x:c>
      <x:c r="J24" s="62" t="str">
        <x:v>Đưa capstone prep vào trước tháng 6 để tháng cuối không bị nghĩ từ đầu.</x:v>
      </x:c>
      <x:c r="K24" s="62" t="str">
        <x:v>Proposal rõ business question, source, architecture, output dashboard.</x:v>
      </x:c>
    </x:row>
    <x:row r="25" ht="26.399999618530273" hidden="0" customHeight="1">
      <x:c r="A25" s="62" t="str">
        <x:v>T21</x:v>
      </x:c>
      <x:c r="B25" s="62" t="str">
        <x:v>Tháng 6</x:v>
      </x:c>
      <x:c r="C25" s="62" t="str">
        <x:v>Capstone</x:v>
      </x:c>
      <x:c r="D25" s="62" t="str">
        <x:v>Capstone design + repo skeleton + data model</x:v>
      </x:c>
      <x:c r="E25" s="62" t="str">
        <x:v>Bắt buộc</x:v>
      </x:c>
      <x:c r="F25" s="62" t="str">
        <x:v>System design; SLA/SLO data freshness; ERD/star schema; ADR; repo structure.</x:v>
      </x:c>
      <x:c r="G25" s="62" t="str">
        <x:v>Tạo repo; architecture diagram; data model; README; .env.example; docker-compose skeleton.</x:v>
      </x:c>
      <x:c r="H25" s="62" t="str">
        <x:v>capstone repo + architecture.png + schema design.</x:v>
      </x:c>
      <x:c r="I25" s="62" t="n">
        <x:v>24</x:v>
      </x:c>
      <x:c r="J25" s="62" t="str">
        <x:v>Tháng 6 tập trung duy nhất một project end-to-end.</x:v>
      </x:c>
      <x:c r="K25" s="62" t="str">
        <x:v>Repo có hướng dẫn setup; thiết kế đủ để bắt đầu code.</x:v>
      </x:c>
    </x:row>
    <x:row r="26" ht="26.399999618530273" hidden="0" customHeight="1">
      <x:c r="A26" s="62" t="str">
        <x:v>T22</x:v>
      </x:c>
      <x:c r="B26" s="62" t="str">
        <x:v>Tháng 6</x:v>
      </x:c>
      <x:c r="C26" s="62" t="str">
        <x:v>Capstone</x:v>
      </x:c>
      <x:c r="D26" s="62" t="str">
        <x:v>Build ingestion + storage + transform</x:v>
      </x:c>
      <x:c r="E26" s="62" t="str">
        <x:v>Bắt buộc</x:v>
      </x:c>
      <x:c r="F26" s="62" t="str">
        <x:v>Ingestion; raw layer; transform layer; dbt/Python; incremental load; error handling.</x:v>
      </x:c>
      <x:c r="G26" s="62" t="str">
        <x:v>Code extract API/CSV; load raw MinIO/Postgres; dbt staging/mart; test chạy local.</x:v>
      </x:c>
      <x:c r="H26" s="62" t="str">
        <x:v>pipeline code + dbt models + sample raw data.</x:v>
      </x:c>
      <x:c r="I26" s="62" t="n">
        <x:v>28</x:v>
      </x:c>
      <x:c r="J26" s="62" t="str">
        <x:v>Giai đoạn build core nên giữ số giờ cao.</x:v>
      </x:c>
      <x:c r="K26" s="62" t="str">
        <x:v>Data đi được source → raw → staging → mart; chạy lại không duplicate.</x:v>
      </x:c>
    </x:row>
    <x:row r="27" ht="26.399999618530273" hidden="0" customHeight="1">
      <x:c r="A27" s="62" t="str">
        <x:v>T23</x:v>
      </x:c>
      <x:c r="B27" s="62" t="str">
        <x:v>Tháng 6</x:v>
      </x:c>
      <x:c r="C27" s="62" t="str">
        <x:v>Capstone</x:v>
      </x:c>
      <x:c r="D27" s="62" t="str">
        <x:v>Orchestration + quality + dashboard</x:v>
      </x:c>
      <x:c r="E27" s="62" t="str">
        <x:v>Bắt buộc</x:v>
      </x:c>
      <x:c r="F27" s="62" t="str">
        <x:v>Airflow orchestration; dbt tests; data quality; Metabase dashboard; monitoring log.</x:v>
      </x:c>
      <x:c r="G27" s="62" t="str">
        <x:v>Airflow DAG orchestrate toàn flow; thêm tests; tạo dashboard 5+ charts.</x:v>
      </x:c>
      <x:c r="H27" s="62" t="str">
        <x:v>DAG success + tests pass + dashboard screenshots.</x:v>
      </x:c>
      <x:c r="I27" s="62" t="n">
        <x:v>28</x:v>
      </x:c>
      <x:c r="J27" s="62" t="str">
        <x:v>Gộp phần testing/dashboard để đảm bảo project có kết quả nhìn thấy.</x:v>
      </x:c>
      <x:c r="K27" s="62" t="str">
        <x:v>DAG xanh; test pass; dashboard trả lời 3-5 câu hỏi business.</x:v>
      </x:c>
    </x:row>
    <x:row r="28" ht="26.399999618530273" hidden="0" customHeight="1">
      <x:c r="A28" s="62" t="str">
        <x:v>T24</x:v>
      </x:c>
      <x:c r="B28" s="62" t="str">
        <x:v>Tháng 6</x:v>
      </x:c>
      <x:c r="C28" s="62" t="str">
        <x:v>Capstone</x:v>
      </x:c>
      <x:c r="D28" s="62" t="str">
        <x:v>Polish repo + docs + demo + interview prep</x:v>
      </x:c>
      <x:c r="E28" s="62" t="str">
        <x:v>Bắt buộc</x:v>
      </x:c>
      <x:c r="F28" s="62" t="str">
        <x:v>README professional; data dictionary; case study; slide demo; CV/interview prep.</x:v>
      </x:c>
      <x:c r="G28" s="62" t="str">
        <x:v>Clean repo; viết setup guide; quay/demo slide; cập nhật CV; mock interview.</x:v>
      </x:c>
      <x:c r="H28" s="62" t="str">
        <x:v>final README + slide/demo outline + CV bullet.</x:v>
      </x:c>
      <x:c r="I28" s="62" t="n">
        <x:v>20</x:v>
      </x:c>
      <x:c r="J28" s="62" t="str">
        <x:v>Giảm số giờ polish, ưu tiên hoàn thiện thứ có thể show portfolio.</x:v>
      </x:c>
      <x:c r="K28" s="62" t="str">
        <x:v>Người khác clone repo và chạy được; bạn demo được 10 phút rõ ràng.</x:v>
      </x:c>
    </x:row>
  </x:sheetData>
  <x:mergeCells>
    <x:mergeCell ref="A1:K1"/>
    <x:mergeCell ref="A2:K2"/>
  </x:mergeCells>
  <x:conditionalFormatting sqref="E5:E28">
    <x:cfRule type="expression" dxfId="0" priority="1">
      <x:formula>E5="Bắt buộc"</x:formula>
    </x:cfRule>
    <x:cfRule type="expression" dxfId="1" priority="2">
      <x:formula>E5="Quan trọng"</x:formula>
    </x:cfRule>
    <x:cfRule type="expression" dxfId="2" priority="3">
      <x:formula>E5="Optional"</x:formula>
    </x:cfRule>
  </x:conditionalFormatting>
  <x:conditionalFormatting sqref="I5:I28">
    <x:cfRule type="dataBar" priority="4">
      <x:dataBar>
        <x:cfvo type="min"/>
        <x:cfvo type="max"/>
        <x:color rgb="FF60A5FA"/>
      </x:dataBar>
      <x:extLst>
        <x:ext xmlns:x14="http://schemas.microsoft.com/office/spreadsheetml/2009/9/main" uri="{B025F937-C7B1-47D3-B67F-A62EFF666E3E}">
          <x14:id>{4023B21F-6289-6F8E-DCDA-7A340C696B21}</x14:id>
        </x:ext>
      </x:extLst>
    </x:cfRule>
  </x:conditionalFormatting>
  <x:pageMargins left="0.7" right="0.7" top="0.75" bottom="0.75" header="0.3" footer="0.3"/>
  <x:tableParts count="1">
    <x:tablePart xmlns:r="http://schemas.openxmlformats.org/officeDocument/2006/relationships" r:id="Rf1ba235d2dd74299"/>
  </x:tableParts>
  <x:extLst>
    <x:ext xmlns:x14="http://schemas.microsoft.com/office/spreadsheetml/2009/9/main" xmlns:xm="http://schemas.microsoft.com/office/excel/2006/main" uri="{78C0D931-6437-407d-A8EE-F0AAD7539E65}">
      <x14:conditionalFormattings>
        <x14:conditionalFormatting>
          <x14:cfRule type="dataBar" priority="4" id="{4023B21F-6289-6F8E-DCDA-7A340C696B21}">
            <x14:dataBar gradient="1">
              <x14:cfvo type="min"/>
              <x14:cfvo type="max"/>
              <x14:fillColor rgb="FF60A5FA"/>
            </x14:dataBar>
          </x14:cfRule>
          <xm:sqref>I5:I28</xm:sqref>
        </x14:conditionalFormatting>
      </x14:conditionalFormattings>
    </x:ext>
  </x:extLst>
</x:worksheet>
</file>

<file path=xl/worksheets/sheet5.xml><?xml version="1.0" encoding="utf-8"?>
<x:worksheet xmlns:x="http://schemas.openxmlformats.org/spreadsheetml/2006/main">
  <x:sheetFormatPr defaultRowHeight="15"/>
  <x:cols>
    <x:col min="1" max="1" width="8" hidden="0" customWidth="1"/>
    <x:col min="2" max="2" width="40" hidden="0" customWidth="1"/>
    <x:col min="3" max="3" width="12" hidden="0" customWidth="1"/>
    <x:col min="4" max="4" width="8" hidden="0" customWidth="1"/>
    <x:col min="5" max="5" width="12" hidden="0" customWidth="1"/>
    <x:col min="6" max="6" width="12" hidden="0" customWidth="1"/>
    <x:col min="7" max="7" width="12" hidden="0" customWidth="1"/>
    <x:col min="8" max="8" width="32" hidden="0" customWidth="1"/>
    <x:col min="10" max="10" width="16" hidden="0" customWidth="1"/>
    <x:col min="11" max="11" width="16" hidden="0" customWidth="1"/>
  </x:cols>
  <x:sheetData>
    <x:row r="1">
      <x:c r="A1" s="37" t="str">
        <x:v>CHECKLIST THEO TUẦN — DÙNG ĐỂ THEO DÕI TIẾN ĐỘ</x:v>
      </x:c>
      <x:c r="B1" s="37"/>
      <x:c r="C1" s="37"/>
      <x:c r="D1" s="37"/>
      <x:c r="E1" s="37"/>
      <x:c r="F1" s="37"/>
      <x:c r="G1" s="37"/>
      <x:c r="H1" s="37"/>
    </x:row>
    <x:row r="3">
      <x:c r="A3" s="54" t="str">
        <x:v>Tuần</x:v>
      </x:c>
      <x:c r="B3" s="54" t="str">
        <x:v>Trọng tâm</x:v>
      </x:c>
      <x:c r="C3" s="54" t="str">
        <x:v>Ưu tiên</x:v>
      </x:c>
      <x:c r="D3" s="54" t="str">
        <x:v>Giờ</x:v>
      </x:c>
      <x:c r="E3" s="54" t="str">
        <x:v>Đã học?</x:v>
      </x:c>
      <x:c r="F3" s="54" t="str">
        <x:v>Đã code?</x:v>
      </x:c>
      <x:c r="G3" s="54" t="str">
        <x:v>Đã viết docs?</x:v>
      </x:c>
      <x:c r="H3" s="54" t="str">
        <x:v>Ghi chú</x:v>
      </x:c>
      <x:c r="J3" s="54" t="str">
        <x:v>Mục</x:v>
      </x:c>
      <x:c r="K3" s="54" t="str">
        <x:v>Công thức</x:v>
      </x:c>
    </x:row>
    <x:row r="4">
      <x:c r="A4" s="60" t="str">
        <x:v>T1</x:v>
      </x:c>
      <x:c r="B4" s="60" t="str">
        <x:v>Setup môi trường + SQL cơ bản + Git</x:v>
      </x:c>
      <x:c r="C4" s="60" t="str">
        <x:v>Bắt buộc</x:v>
      </x:c>
      <x:c r="D4" s="60" t="n">
        <x:v>20</x:v>
      </x:c>
      <x:c r="E4" s="60" t="str"/>
      <x:c r="F4" s="60" t="str"/>
      <x:c r="G4" s="60" t="str"/>
      <x:c r="H4" s="60" t="str"/>
      <x:c r="J4" t="str">
        <x:v>Tổng tuần</x:v>
      </x:c>
      <x:c r="K4" t="n">
        <x:f>COUNTA(A4:A27)</x:f>
        <x:v>24</x:v>
      </x:c>
    </x:row>
    <x:row r="5">
      <x:c r="A5" s="60" t="str">
        <x:v>T2</x:v>
      </x:c>
      <x:c r="B5" s="60" t="str">
        <x:v>SQL nâng cao + CTE + Window Function + Index</x:v>
      </x:c>
      <x:c r="C5" s="60" t="str">
        <x:v>Bắt buộc</x:v>
      </x:c>
      <x:c r="D5" s="60" t="n">
        <x:v>22</x:v>
      </x:c>
      <x:c r="E5" s="60" t="str"/>
      <x:c r="F5" s="60" t="str"/>
      <x:c r="G5" s="60" t="str"/>
      <x:c r="H5" s="60" t="str"/>
      <x:c r="J5" t="str">
        <x:v>Đã học</x:v>
      </x:c>
      <x:c r="K5" t="n">
        <x:f>COUNTIF(E4:E27,"Có")</x:f>
        <x:v>0</x:v>
      </x:c>
    </x:row>
    <x:row r="6">
      <x:c r="A6" s="60" t="str">
        <x:v>T3</x:v>
      </x:c>
      <x:c r="B6" s="60" t="str">
        <x:v>Python cho ETL + Linux/Terminal cơ bản</x:v>
      </x:c>
      <x:c r="C6" s="60" t="str">
        <x:v>Bắt buộc</x:v>
      </x:c>
      <x:c r="D6" s="60" t="n">
        <x:v>20</x:v>
      </x:c>
      <x:c r="E6" s="60" t="str"/>
      <x:c r="F6" s="60" t="str"/>
      <x:c r="G6" s="60" t="str"/>
      <x:c r="H6" s="60" t="str"/>
      <x:c r="J6" t="str">
        <x:v>Đã code</x:v>
      </x:c>
      <x:c r="K6" t="n">
        <x:f>COUNTIF(F4:F27,"Có")</x:f>
        <x:v>0</x:v>
      </x:c>
    </x:row>
    <x:row r="7">
      <x:c r="A7" s="60" t="str">
        <x:v>T4</x:v>
      </x:c>
      <x:c r="B7" s="60" t="str">
        <x:v>Pandas + clean code + mini portfolio</x:v>
      </x:c>
      <x:c r="C7" s="60" t="str">
        <x:v>Bắt buộc</x:v>
      </x:c>
      <x:c r="D7" s="60" t="n">
        <x:v>22</x:v>
      </x:c>
      <x:c r="E7" s="60" t="str"/>
      <x:c r="F7" s="60" t="str"/>
      <x:c r="G7" s="60" t="str"/>
      <x:c r="H7" s="60" t="str"/>
      <x:c r="J7" t="str">
        <x:v>Đã docs</x:v>
      </x:c>
      <x:c r="K7" t="n">
        <x:f>COUNTIF(G4:G27,"Có")</x:f>
        <x:v>0</x:v>
      </x:c>
    </x:row>
    <x:row r="8">
      <x:c r="A8" s="60" t="str">
        <x:v>T5</x:v>
      </x:c>
      <x:c r="B8" s="60" t="str">
        <x:v>Relational Data Modeling + PostgreSQL schema</x:v>
      </x:c>
      <x:c r="C8" s="60" t="str">
        <x:v>Bắt buộc</x:v>
      </x:c>
      <x:c r="D8" s="60" t="n">
        <x:v>20</x:v>
      </x:c>
      <x:c r="E8" s="60" t="str"/>
      <x:c r="F8" s="60" t="str"/>
      <x:c r="G8" s="60" t="str"/>
      <x:c r="H8" s="60" t="str"/>
    </x:row>
    <x:row r="9">
      <x:c r="A9" s="60" t="str">
        <x:v>T6</x:v>
      </x:c>
      <x:c r="B9" s="60" t="str">
        <x:v>Dimensional Modeling: Star Schema + SCD Type 2</x:v>
      </x:c>
      <x:c r="C9" s="60" t="str">
        <x:v>Bắt buộc</x:v>
      </x:c>
      <x:c r="D9" s="60" t="n">
        <x:v>22</x:v>
      </x:c>
      <x:c r="E9" s="60" t="str"/>
      <x:c r="F9" s="60" t="str"/>
      <x:c r="G9" s="60" t="str"/>
      <x:c r="H9" s="60" t="str"/>
    </x:row>
    <x:row r="10">
      <x:c r="A10" s="60" t="str">
        <x:v>T7</x:v>
      </x:c>
      <x:c r="B10" s="60" t="str">
        <x:v>Docker cơ bản + Docker Compose local stack</x:v>
      </x:c>
      <x:c r="C10" s="60" t="str">
        <x:v>Bắt buộc</x:v>
      </x:c>
      <x:c r="D10" s="60" t="n">
        <x:v>18</x:v>
      </x:c>
      <x:c r="E10" s="60" t="str"/>
      <x:c r="F10" s="60" t="str"/>
      <x:c r="G10" s="60" t="str"/>
      <x:c r="H10" s="60" t="str"/>
    </x:row>
    <x:row r="11" ht="52" customHeight="1">
      <x:c r="A11" s="60" t="str">
        <x:v>T8</x:v>
      </x:c>
      <x:c r="B11" s="62" t="str">
        <x:v>Data Lake local: MinIO + Medallion bắt buộc; BigQuery overview</x:v>
      </x:c>
      <x:c r="C11" s="78" t="str">
        <x:v>Bắt buộc</x:v>
      </x:c>
      <x:c r="D11" s="62" t="n">
        <x:v>22</x:v>
      </x:c>
      <x:c r="E11" s="62" t="str"/>
      <x:c r="F11" s="62" t="str"/>
      <x:c r="G11" s="62" t="str"/>
      <x:c r="H11" s="62" t="str">
        <x:v>MinIO + Medallion là bắt buộc vì T9 cần raw storage; BigQuery overview là phần quan trọng nhưng không blocking.</x:v>
      </x:c>
    </x:row>
    <x:row r="12">
      <x:c r="A12" s="60" t="str">
        <x:v>T9</x:v>
      </x:c>
      <x:c r="B12" s="60" t="str">
        <x:v>Batch ETL bằng Python + Idempotency + Backfill</x:v>
      </x:c>
      <x:c r="C12" s="60" t="str">
        <x:v>Bắt buộc</x:v>
      </x:c>
      <x:c r="D12" s="60" t="n">
        <x:v>22</x:v>
      </x:c>
      <x:c r="E12" s="60" t="str"/>
      <x:c r="F12" s="60" t="str"/>
      <x:c r="G12" s="60" t="str"/>
      <x:c r="H12" s="60" t="str"/>
    </x:row>
    <x:row r="13">
      <x:c r="A13" s="60" t="str">
        <x:v>T10</x:v>
      </x:c>
      <x:c r="B13" s="60" t="str">
        <x:v>File formats: CSV/JSON/Parquet + data lake layout</x:v>
      </x:c>
      <x:c r="C13" s="60" t="str">
        <x:v>Quan trọng</x:v>
      </x:c>
      <x:c r="D13" s="60" t="n">
        <x:v>18</x:v>
      </x:c>
      <x:c r="E13" s="60" t="str"/>
      <x:c r="F13" s="60" t="str"/>
      <x:c r="G13" s="60" t="str"/>
      <x:c r="H13" s="60" t="str"/>
    </x:row>
    <x:row r="14">
      <x:c r="A14" s="60" t="str">
        <x:v>T11</x:v>
      </x:c>
      <x:c r="B14" s="60" t="str">
        <x:v>Airflow bằng Docker Compose</x:v>
      </x:c>
      <x:c r="C14" s="60" t="str">
        <x:v>Bắt buộc</x:v>
      </x:c>
      <x:c r="D14" s="60" t="n">
        <x:v>24</x:v>
      </x:c>
      <x:c r="E14" s="60" t="str"/>
      <x:c r="F14" s="60" t="str"/>
      <x:c r="G14" s="60" t="str"/>
      <x:c r="H14" s="60" t="str"/>
    </x:row>
    <x:row r="15">
      <x:c r="A15" s="60" t="str">
        <x:v>T12</x:v>
      </x:c>
      <x:c r="B15" s="60" t="str">
        <x:v>dbt core + staging/intermediate/mart + tests/docs</x:v>
      </x:c>
      <x:c r="C15" s="60" t="str">
        <x:v>Bắt buộc</x:v>
      </x:c>
      <x:c r="D15" s="60" t="n">
        <x:v>24</x:v>
      </x:c>
      <x:c r="E15" s="60" t="str"/>
      <x:c r="F15" s="60" t="str"/>
      <x:c r="G15" s="60" t="str"/>
      <x:c r="H15" s="60" t="str"/>
    </x:row>
    <x:row r="16">
      <x:c r="A16" s="60" t="str">
        <x:v>T13</x:v>
      </x:c>
      <x:c r="B16" s="60" t="str">
        <x:v>Cloud cơ bản: GCS/BigQuery/IAM/chi phí</x:v>
      </x:c>
      <x:c r="C16" s="60" t="str">
        <x:v>Quan trọng</x:v>
      </x:c>
      <x:c r="D16" s="60" t="n">
        <x:v>20</x:v>
      </x:c>
      <x:c r="E16" s="60" t="str"/>
      <x:c r="F16" s="60" t="str"/>
      <x:c r="G16" s="60" t="str"/>
      <x:c r="H16" s="60" t="str"/>
    </x:row>
    <x:row r="17">
      <x:c r="A17" s="60" t="str">
        <x:v>T14</x:v>
      </x:c>
      <x:c r="B17" s="60" t="str">
        <x:v>Data Quality + Governance thực dụng</x:v>
      </x:c>
      <x:c r="C17" s="60" t="str">
        <x:v>Bắt buộc</x:v>
      </x:c>
      <x:c r="D17" s="60" t="n">
        <x:v>22</x:v>
      </x:c>
      <x:c r="E17" s="60" t="str"/>
      <x:c r="F17" s="60" t="str"/>
      <x:c r="G17" s="60" t="str"/>
      <x:c r="H17" s="60" t="str"/>
    </x:row>
    <x:row r="18">
      <x:c r="A18" s="60" t="str">
        <x:v>T15</x:v>
      </x:c>
      <x:c r="B18" s="60" t="str">
        <x:v>BI với Metabase + Metrics Definition</x:v>
      </x:c>
      <x:c r="C18" s="60" t="str">
        <x:v>Bắt buộc</x:v>
      </x:c>
      <x:c r="D18" s="60" t="n">
        <x:v>20</x:v>
      </x:c>
      <x:c r="E18" s="60" t="str"/>
      <x:c r="F18" s="60" t="str"/>
      <x:c r="G18" s="60" t="str"/>
      <x:c r="H18" s="60" t="str"/>
    </x:row>
    <x:row r="19">
      <x:c r="A19" s="60" t="str">
        <x:v>T16</x:v>
      </x:c>
      <x:c r="B19" s="60" t="str">
        <x:v>Kafka/CDC intro, không học production sâu</x:v>
      </x:c>
      <x:c r="C19" s="60" t="str">
        <x:v>Optional</x:v>
      </x:c>
      <x:c r="D19" s="60" t="n">
        <x:v>18</x:v>
      </x:c>
      <x:c r="E19" s="60" t="str"/>
      <x:c r="F19" s="60" t="str"/>
      <x:c r="G19" s="60" t="str"/>
      <x:c r="H19" s="60" t="str"/>
    </x:row>
    <x:row r="20">
      <x:c r="A20" s="60" t="str">
        <x:v>T17</x:v>
      </x:c>
      <x:c r="B20" s="60" t="str">
        <x:v>Data Architecture + Modern/Open Data Stack</x:v>
      </x:c>
      <x:c r="C20" s="60" t="str">
        <x:v>Quan trọng</x:v>
      </x:c>
      <x:c r="D20" s="60" t="n">
        <x:v>20</x:v>
      </x:c>
      <x:c r="E20" s="60" t="str"/>
      <x:c r="F20" s="60" t="str"/>
      <x:c r="G20" s="60" t="str"/>
      <x:c r="H20" s="60" t="str"/>
    </x:row>
    <x:row r="21">
      <x:c r="A21" s="60" t="str">
        <x:v>T18</x:v>
      </x:c>
      <x:c r="B21" s="60" t="str">
        <x:v>PySpark intro + khi nào cần distributed processing</x:v>
      </x:c>
      <x:c r="C21" s="60" t="str">
        <x:v>Quan trọng</x:v>
      </x:c>
      <x:c r="D21" s="60" t="n">
        <x:v>22</x:v>
      </x:c>
      <x:c r="E21" s="60" t="str"/>
      <x:c r="F21" s="60" t="str"/>
      <x:c r="G21" s="60" t="str"/>
      <x:c r="H21" s="60" t="str"/>
    </x:row>
    <x:row r="22">
      <x:c r="A22" s="60" t="str">
        <x:v>T19</x:v>
      </x:c>
      <x:c r="B22" s="60" t="str">
        <x:v>Iceberg/Delta Lake overview + mini lab nếu còn thời gian</x:v>
      </x:c>
      <x:c r="C22" s="60" t="str">
        <x:v>Optional</x:v>
      </x:c>
      <x:c r="D22" s="60" t="n">
        <x:v>16</x:v>
      </x:c>
      <x:c r="E22" s="60" t="str"/>
      <x:c r="F22" s="60" t="str"/>
      <x:c r="G22" s="60" t="str"/>
      <x:c r="H22" s="60" t="str"/>
    </x:row>
    <x:row r="23">
      <x:c r="A23" s="60" t="str">
        <x:v>T20</x:v>
      </x:c>
      <x:c r="B23" s="60" t="str">
        <x:v>Career prep + chốt proposal capstone</x:v>
      </x:c>
      <x:c r="C23" s="60" t="str">
        <x:v>Bắt buộc</x:v>
      </x:c>
      <x:c r="D23" s="60" t="n">
        <x:v>20</x:v>
      </x:c>
      <x:c r="E23" s="60" t="str"/>
      <x:c r="F23" s="60" t="str"/>
      <x:c r="G23" s="60" t="str"/>
      <x:c r="H23" s="60" t="str"/>
    </x:row>
    <x:row r="24">
      <x:c r="A24" s="60" t="str">
        <x:v>T21</x:v>
      </x:c>
      <x:c r="B24" s="60" t="str">
        <x:v>Capstone design + repo skeleton + data model</x:v>
      </x:c>
      <x:c r="C24" s="60" t="str">
        <x:v>Bắt buộc</x:v>
      </x:c>
      <x:c r="D24" s="60" t="n">
        <x:v>24</x:v>
      </x:c>
      <x:c r="E24" s="60" t="str"/>
      <x:c r="F24" s="60" t="str"/>
      <x:c r="G24" s="60" t="str"/>
      <x:c r="H24" s="60" t="str"/>
    </x:row>
    <x:row r="25">
      <x:c r="A25" s="60" t="str">
        <x:v>T22</x:v>
      </x:c>
      <x:c r="B25" s="60" t="str">
        <x:v>Build ingestion + storage + transform</x:v>
      </x:c>
      <x:c r="C25" s="60" t="str">
        <x:v>Bắt buộc</x:v>
      </x:c>
      <x:c r="D25" s="60" t="n">
        <x:v>28</x:v>
      </x:c>
      <x:c r="E25" s="60" t="str"/>
      <x:c r="F25" s="60" t="str"/>
      <x:c r="G25" s="60" t="str"/>
      <x:c r="H25" s="60" t="str"/>
    </x:row>
    <x:row r="26">
      <x:c r="A26" s="60" t="str">
        <x:v>T23</x:v>
      </x:c>
      <x:c r="B26" s="60" t="str">
        <x:v>Orchestration + quality + dashboard</x:v>
      </x:c>
      <x:c r="C26" s="60" t="str">
        <x:v>Bắt buộc</x:v>
      </x:c>
      <x:c r="D26" s="60" t="n">
        <x:v>28</x:v>
      </x:c>
      <x:c r="E26" s="60" t="str"/>
      <x:c r="F26" s="60" t="str"/>
      <x:c r="G26" s="60" t="str"/>
      <x:c r="H26" s="60" t="str"/>
    </x:row>
    <x:row r="27">
      <x:c r="A27" s="60" t="str">
        <x:v>T24</x:v>
      </x:c>
      <x:c r="B27" s="60" t="str">
        <x:v>Polish repo + docs + demo + interview prep</x:v>
      </x:c>
      <x:c r="C27" s="60" t="str">
        <x:v>Bắt buộc</x:v>
      </x:c>
      <x:c r="D27" s="60" t="n">
        <x:v>20</x:v>
      </x:c>
      <x:c r="E27" s="60" t="str"/>
      <x:c r="F27" s="60" t="str"/>
      <x:c r="G27" s="60" t="str"/>
      <x:c r="H27" s="60" t="str"/>
    </x:row>
  </x:sheetData>
  <x:mergeCells>
    <x:mergeCell ref="A1:H1"/>
  </x:mergeCells>
  <x:conditionalFormatting sqref="E4:G27">
    <x:cfRule type="expression" dxfId="3" priority="1">
      <x:formula>E4="Có"</x:formula>
    </x:cfRule>
    <x:cfRule type="expression" dxfId="4" priority="2">
      <x:formula>E4="Chưa"</x:formula>
    </x:cfRule>
  </x:conditionalFormatting>
  <x:dataValidations count="3">
    <x:dataValidation type="list" sqref="E4:E27">
      <x:formula1>"Có,Chưa"</x:formula1>
    </x:dataValidation>
    <x:dataValidation type="list" sqref="F4:F27">
      <x:formula1>"Có,Chưa"</x:formula1>
    </x:dataValidation>
    <x:dataValidation type="list" sqref="G4:G27">
      <x:formula1>"Có,Chưa"</x:formula1>
    </x:dataValidation>
  </x:dataValidations>
  <x:pageMargins left="0.7" right="0.7" top="0.75" bottom="0.75" header="0.3" footer="0.3"/>
  <x:tableParts count="1">
    <x:tablePart xmlns:r="http://schemas.openxmlformats.org/officeDocument/2006/relationships" r:id="R94b74b6aac764592"/>
  </x:tableParts>
</x:worksheet>
</file>

<file path=xl/worksheets/sheet6.xml><?xml version="1.0" encoding="utf-8"?>
<x:worksheet xmlns:x="http://schemas.openxmlformats.org/spreadsheetml/2006/main">
  <x:sheetFormatPr defaultRowHeight="15"/>
  <x:cols>
    <x:col min="1" max="1" width="28" hidden="0" customWidth="1"/>
    <x:col min="2" max="2" width="18" hidden="0" customWidth="1"/>
    <x:col min="3" max="3" width="38" hidden="0" customWidth="1"/>
    <x:col min="4" max="4" width="38" hidden="0" customWidth="1"/>
    <x:col min="5" max="5" width="38" hidden="0" customWidth="1"/>
  </x:cols>
  <x:sheetData>
    <x:row r="1">
      <x:c r="A1" s="72" t="str">
        <x:v>BACKLOG OPTIONAL — CÁC CHỦ ĐỀ NÊN HỌC LƯỚT HOẶC ĐỂ SAU</x:v>
      </x:c>
      <x:c r="B1" s="72"/>
      <x:c r="C1" s="72"/>
      <x:c r="D1" s="72"/>
      <x:c r="E1" s="72"/>
    </x:row>
    <x:row r="3">
      <x:c r="A3" s="54" t="str">
        <x:v>Chủ đề</x:v>
      </x:c>
      <x:c r="B3" s="54" t="str">
        <x:v>Trạng thái trong bản sửa</x:v>
      </x:c>
      <x:c r="C3" s="54" t="str">
        <x:v>Vì sao để sau</x:v>
      </x:c>
      <x:c r="D3" s="54" t="str">
        <x:v>Học khi nào</x:v>
      </x:c>
      <x:c r="E3" s="54" t="str">
        <x:v>Mini lab nếu còn thời gian</x:v>
      </x:c>
    </x:row>
    <x:row r="4">
      <x:c r="A4" s="60" t="str">
        <x:v>Kafka production tuning</x:v>
      </x:c>
      <x:c r="B4" s="60" t="str">
        <x:v>Optional</x:v>
      </x:c>
      <x:c r="C4" s="60" t="str">
        <x:v>Cần kiến thức distributed system, retention, offset, scaling; quá nặng cho 6 tháng đầu.</x:v>
      </x:c>
      <x:c r="D4" s="60" t="str">
        <x:v>Sau khi capstone batch pipeline ổn.</x:v>
      </x:c>
      <x:c r="E4" s="60" t="str">
        <x:v>Monitor consumer lag, retry DLQ đơn giản.</x:v>
      </x:c>
    </x:row>
    <x:row r="5">
      <x:c r="A5" s="60" t="str">
        <x:v>CDC production với Debezium</x:v>
      </x:c>
      <x:c r="B5" s="60" t="str">
        <x:v>Optional</x:v>
      </x:c>
      <x:c r="C5" s="60" t="str">
        <x:v>Setup connector/schema registry dễ tốn thời gian và nhiều lỗi môi trường.</x:v>
      </x:c>
      <x:c r="D5" s="60" t="str">
        <x:v>Sau Kafka intro và PostgreSQL vững.</x:v>
      </x:c>
      <x:c r="E5" s="60" t="str">
        <x:v>Postgres WAL → Debezium → Kafka → sink table.</x:v>
      </x:c>
    </x:row>
    <x:row r="6">
      <x:c r="A6" s="60" t="str">
        <x:v>Dagster deep dive</x:v>
      </x:c>
      <x:c r="B6" s="60" t="str">
        <x:v>Overview</x:v>
      </x:c>
      <x:c r="C6" s="60" t="str">
        <x:v>Dễ làm loãng Airflow/dbt. Junior nên ưu tiên 1 orchestrator trước.</x:v>
      </x:c>
      <x:c r="D6" s="60" t="str">
        <x:v>Sau khi Airflow DAG chạy tốt.</x:v>
      </x:c>
      <x:c r="E6" s="60" t="str">
        <x:v>Chuyển 1 DAG Airflow sang Dagster asset.</x:v>
      </x:c>
    </x:row>
    <x:row r="7">
      <x:c r="A7" s="60" t="str">
        <x:v>Iceberg/Delta Lake deep dive</x:v>
      </x:c>
      <x:c r="B7" s="60" t="str">
        <x:v>Optional</x:v>
      </x:c>
      <x:c r="C7" s="60" t="str">
        <x:v>Lakehouse table format là nâng cao; cần Spark/object storage tốt trước.</x:v>
      </x:c>
      <x:c r="D7" s="60" t="str">
        <x:v>Sau PySpark và data lake layout.</x:v>
      </x:c>
      <x:c r="E7" s="60" t="str">
        <x:v>Tạo table, insert, time travel local.</x:v>
      </x:c>
    </x:row>
    <x:row r="8">
      <x:c r="A8" s="60" t="str">
        <x:v>Data Mesh</x:v>
      </x:c>
      <x:c r="B8" s="60" t="str">
        <x:v>Overview</x:v>
      </x:c>
      <x:c r="C8" s="60" t="str">
        <x:v>Nặng về tổ chức, ownership, governance; ít phù hợp giai đoạn mới học.</x:v>
      </x:c>
      <x:c r="D8" s="60" t="str">
        <x:v>Khi đã làm nhiều domain/project.</x:v>
      </x:c>
      <x:c r="E8" s="60" t="str">
        <x:v>Viết 1 trang giải thích data product.</x:v>
      </x:c>
    </x:row>
    <x:row r="9">
      <x:c r="A9" s="60" t="str">
        <x:v>Avro/Arrow sâu</x:v>
      </x:c>
      <x:c r="B9" s="60" t="str">
        <x:v>Overview</x:v>
      </x:c>
      <x:c r="C9" s="60" t="str">
        <x:v>Chỉ cần biết khái niệm; Parquet quan trọng hơn cho analytics.</x:v>
      </x:c>
      <x:c r="D9" s="60" t="str">
        <x:v>Khi làm streaming/schema evolution.</x:v>
      </x:c>
      <x:c r="E9" s="60" t="str">
        <x:v>Convert JSON → Avro, đọc schema.</x:v>
      </x:c>
    </x:row>
    <x:row r="10">
      <x:c r="A10" s="60" t="str">
        <x:v>Multi-cloud AWS + GCP</x:v>
      </x:c>
      <x:c r="B10" s="60" t="str">
        <x:v>Không ưu tiên</x:v>
      </x:c>
      <x:c r="C10" s="60" t="str">
        <x:v>Học một cloud trước để tránh loạn dịch vụ.</x:v>
      </x:c>
      <x:c r="D10" s="60" t="str">
        <x:v>Sau khi GCP basics ổn.</x:v>
      </x:c>
      <x:c r="E10" s="60" t="str">
        <x:v>Làm lại storage demo bằng S3.</x:v>
      </x:c>
    </x:row>
    <x:row r="11">
      <x:c r="A11" s="60" t="str">
        <x:v>RAG cho Data Engineering</x:v>
      </x:c>
      <x:c r="B11" s="60" t="str">
        <x:v>Để sau</x:v>
      </x:c>
      <x:c r="C11" s="60" t="str">
        <x:v>Không phải core DE trong 6 tháng đầu.</x:v>
      </x:c>
      <x:c r="D11" s="60" t="str">
        <x:v>Khi đã có nền dữ liệu và muốn mở rộng AI/data apps.</x:v>
      </x:c>
      <x:c r="E11" s="60" t="str">
        <x:v>Chatbot hỏi data dictionary hoặc docs project.</x:v>
      </x:c>
    </x:row>
    <x:row r="12" ht="42" customHeight="1">
      <x:c r="A12" s="62" t="str">
        <x:v>BigQuery nâng cao/cost tuning</x:v>
      </x:c>
      <x:c r="B12" s="62" t="str">
        <x:v>Để sau</x:v>
      </x:c>
      <x:c r="C12" s="62" t="str">
        <x:v>T8 chỉ cần overview để hiểu warehouse cloud; chưa cần tối ưu partition, clustering, cost tuning sâu.</x:v>
      </x:c>
      <x:c r="D12" s="62" t="str">
        <x:v>Sau khi local pipeline + capstone chạy ổn.</x:v>
      </x:c>
      <x:c r="E12" s="62" t="str">
        <x:v>Tối ưu một bảng partition/cluster và so sánh query cost.</x:v>
      </x:c>
    </x:row>
  </x:sheetData>
  <x:mergeCells>
    <x:mergeCell ref="A1:E1"/>
  </x:mergeCells>
  <x:pageMargins left="0.7" right="0.7" top="0.75" bottom="0.75" header="0.3" footer="0.3"/>
  <x:tableParts count="1">
    <x:tablePart xmlns:r="http://schemas.openxmlformats.org/officeDocument/2006/relationships" r:id="Rba093a90a7134240"/>
  </x:tableParts>
</x:worksheet>
</file>